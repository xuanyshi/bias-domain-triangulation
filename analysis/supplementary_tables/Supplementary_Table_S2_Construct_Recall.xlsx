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478bc11d9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all summary" sheetId="1" r:id="R4e58516eadc349da"/>
    <x:sheet xmlns:r="http://schemas.openxmlformats.org/officeDocument/2006/relationships" name="LLM recall ABC 3model" sheetId="2" r:id="R231d0f303a4a4968"/>
    <x:sheet xmlns:r="http://schemas.openxmlformats.org/officeDocument/2006/relationships" name="README" sheetId="3" r:id="Rb918c076e24241c2"/>
    <x:sheet xmlns:r="http://schemas.openxmlformats.org/officeDocument/2006/relationships" name="Source mapping" sheetId="4" r:id="R2da98e4ed3094696"/>
    <x:sheet xmlns:r="http://schemas.openxmlformats.org/officeDocument/2006/relationships" name="Mapping review" sheetId="5" r:id="Rde235dc2fe1a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/17&quot;"/>
    <x:numFmt numFmtId="201" formatCode="0%"/>
  </x:numFmts>
  <x:fonts count="46">
    <x:font>
      <x:sz val="11"/>
      <x:color theme="1"/>
      <x:name val="Times New Roman"/>
    </x:font>
    <x:font>
      <x:b/>
      <x:sz val="13"/>
    </x:font>
    <x:font>
      <x:i/>
      <x:sz val="9"/>
      <x:color rgb="FF555555"/>
    </x:font>
    <x:font>
      <x:b/>
      <x:sz val="11"/>
      <x:color rgb="FF0A3D62"/>
    </x:font>
    <x:font>
      <x:b/>
      <x:sz val="10"/>
      <x:color rgb="FFFFFFFF"/>
    </x:font>
    <x:font>
      <x:i/>
    </x:font>
    <x:font>
      <x:b/>
      <x:color rgb="FFB15A3A"/>
    </x:font>
    <x:font>
      <x:b/>
    </x:font>
    <x:font>
      <x:sz val="11"/>
      <x:color theme="1"/>
      <x:name val="Times New Roman"/>
    </x:font>
    <x:font>
      <x:b/>
      <x:sz val="11"/>
      <x:color rgb="FFFFFFFF"/>
      <x:name val="Times New Roman"/>
    </x:font>
    <x:font>
      <x:b/>
      <x:sz val="10"/>
      <x:color rgb="FFFFFFFF"/>
      <x:name val="Times New Roman"/>
    </x:font>
    <x:font>
      <x:b/>
      <x:color rgb="FFB15A3A"/>
      <x:name val="Times New Roman"/>
    </x:font>
    <x:font>
      <x:b/>
      <x:name val="Times New Roman"/>
    </x:font>
    <x:font>
      <x:sz val="11"/>
      <x:color rgb="FFFFFFFF"/>
      <x:name val="Times New Roman"/>
    </x:font>
    <x:font>
      <x:b/>
      <x:sz val="13"/>
      <x:name val="Times New Roman"/>
    </x:font>
    <x:font>
      <x:i/>
      <x:sz val="9"/>
      <x:color rgb="FF555555"/>
      <x:name val="Times New Roman"/>
    </x:font>
    <x:font>
      <x:b/>
      <x:sz val="11"/>
      <x:color rgb="FF0A3D62"/>
      <x:name val="Times New Roman"/>
    </x:font>
    <x:font>
      <x:i/>
      <x:name val="Times New Roman"/>
    </x:font>
    <x:font>
      <x:b/>
      <x:sz val="11"/>
      <x:color theme="1"/>
      <x:name val="Times New Roman"/>
    </x:font>
    <x:font>
      <x:sz val="11"/>
      <x:color theme="1"/>
      <x:name val="Times New Roman"/>
    </x:font>
    <x:font>
      <x:b/>
      <x:sz val="13"/>
    </x:font>
    <x:font>
      <x:i/>
      <x:sz val="9"/>
      <x:color rgb="FF555555"/>
    </x:font>
    <x:font>
      <x:b/>
      <x:sz val="11"/>
      <x:color rgb="FF0A3D62"/>
    </x:font>
    <x:font>
      <x:b/>
      <x:sz val="10"/>
      <x:color rgb="FFFFFFFF"/>
    </x:font>
    <x:font>
      <x:i/>
    </x:font>
    <x:font>
      <x:b/>
      <x:color rgb="FFB15A3A"/>
    </x:font>
    <x:font>
      <x:b/>
    </x:font>
    <x:font>
      <x:sz val="11"/>
      <x:color theme="1"/>
      <x:name val="Times New Roman"/>
    </x:font>
    <x:font>
      <x:b/>
      <x:sz val="11"/>
      <x:color rgb="FFFFFFFF"/>
      <x:name val="Times New Roman"/>
    </x:font>
    <x:font>
      <x:b/>
      <x:sz val="10"/>
      <x:color rgb="FFFFFFFF"/>
      <x:name val="Times New Roman"/>
    </x:font>
    <x:font>
      <x:b/>
      <x:color rgb="FFB15A3A"/>
      <x:name val="Times New Roman"/>
    </x:font>
    <x:font>
      <x:b/>
      <x:name val="Times New Roman"/>
    </x:font>
    <x:font>
      <x:sz val="11"/>
      <x:color rgb="FFFFFFFF"/>
      <x:name val="Times New Roman"/>
    </x:font>
    <x:font>
      <x:b/>
      <x:sz val="13"/>
      <x:name val="Times New Roman"/>
    </x:font>
    <x:font>
      <x:i/>
      <x:sz val="9"/>
      <x:color rgb="FF555555"/>
      <x:name val="Times New Roman"/>
    </x:font>
    <x:font>
      <x:b/>
      <x:sz val="11"/>
      <x:color rgb="FF0A3D62"/>
      <x:name val="Times New Roman"/>
    </x:font>
    <x:font>
      <x:i/>
      <x:name val="Times New Roman"/>
    </x:font>
    <x:font>
      <x:b/>
      <x:sz val="11"/>
      <x:color theme="1"/>
      <x:name val="Times New Roman"/>
    </x:font>
    <x:font>
      <x:b/>
      <x:sz val="11"/>
      <x:name val="Times New Roman"/>
    </x:font>
    <x:font>
      <x:i/>
      <x:sz val="11"/>
      <x:color rgb="FF555555"/>
      <x:name val="Times New Roman"/>
    </x:font>
    <x:font>
      <x:i/>
      <x:sz val="11"/>
      <x:name val="Times New Roman"/>
    </x:font>
    <x:font>
      <x:b/>
      <x:sz val="11"/>
      <x:color rgb="FF000000"/>
      <x:name val="Times New Roman"/>
    </x:font>
    <x:font>
      <x:b/>
      <x:sz val="14"/>
      <x:name val="Times New Roman"/>
    </x:font>
    <x:font>
      <x:b/>
      <x:sz val="14"/>
      <x:color rgb="FF000000"/>
      <x:name val="Times New Roman"/>
    </x:font>
    <x:font>
      <x:b/>
      <x:sz val="11"/>
      <x:color rgb="FFB15A3A"/>
      <x:name val="Times New Roman"/>
    </x:font>
    <x:font>
      <x:b/>
      <x:sz val="14"/>
      <x:color theme="1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1F5FA6"/>
      </x:patternFill>
    </x:fill>
    <x:fill>
      <x:patternFill patternType="solid">
        <x:fgColor rgb="FF1F4E78"/>
      </x:patternFill>
    </x:fill>
    <x:fill>
      <x:patternFill patternType="none"/>
    </x:fill>
    <x:fill>
      <x:patternFill patternType="gray125"/>
    </x:fill>
    <x:fill>
      <x:patternFill patternType="solid">
        <x:fgColor rgb="FF1F5FA6"/>
      </x:patternFill>
    </x:fill>
    <x:fill>
      <x:patternFill patternType="solid">
        <x:fgColor rgb="FF1F4E78"/>
      </x:patternFill>
    </x:fill>
    <x:fill>
      <x:patternFill patternType="solid">
        <x:fgColor rgb="FFE8EFF5"/>
      </x:patternFill>
    </x:fill>
  </x:fills>
  <x:borders count="5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/>
    <x:xf numFmtId="0" fontId="19" fillId="4" borderId="2"/>
  </x:cellStyleXfs>
  <x:cellXfs count="128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/>
    </x:xf>
    <x:xf numFmtId="0" fontId="0" fillId="0" borderId="1" xfId="0"/>
    <x:xf numFmtId="0" fontId="0" fillId="0" borderId="1" xfId="0" applyAlignment="1">
      <x:alignment horizontal="center" vertical="center"/>
    </x:xf>
    <x:xf numFmtId="0" fontId="5" fillId="0" borderId="0" xfId="0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/>
    </x:xf>
    <x:xf numFmtId="0" fontId="7" fillId="0" borderId="0" xfId="0"/>
    <x:xf numFmtId="0" fontId="7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/>
    <x:xf numFmtId="200" fontId="12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17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horizontal="center" vertical="center"/>
    </x:xf>
    <x:xf numFmtId="201" fontId="8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 wrapText="1"/>
    </x:xf>
    <x:xf numFmtId="0" fontId="19" fillId="4" borderId="2" xfId="1"/>
    <x:xf numFmtId="0" fontId="20" fillId="4" borderId="2" xfId="1"/>
    <x:xf numFmtId="0" fontId="21" fillId="4" borderId="2" xfId="1"/>
    <x:xf numFmtId="0" fontId="22" fillId="4" borderId="2" xfId="1"/>
    <x:xf numFmtId="0" fontId="23" fillId="6" borderId="3" xfId="1" applyAlignment="1">
      <x:alignment horizontal="center" vertical="center"/>
    </x:xf>
    <x:xf numFmtId="0" fontId="19" fillId="4" borderId="3" xfId="1"/>
    <x:xf numFmtId="0" fontId="19" fillId="4" borderId="3" xfId="1" applyAlignment="1">
      <x:alignment horizontal="center" vertical="center"/>
    </x:xf>
    <x:xf numFmtId="0" fontId="24" fillId="4" borderId="2" xfId="1" applyAlignment="1">
      <x:alignment vertical="top" wrapText="1"/>
    </x:xf>
    <x:xf numFmtId="0" fontId="23" fillId="6" borderId="3" xfId="1" applyAlignment="1">
      <x:alignment horizontal="center" vertical="center" wrapText="1"/>
    </x:xf>
    <x:xf numFmtId="0" fontId="19" fillId="4" borderId="3" xfId="1" applyAlignment="1">
      <x:alignment vertical="top" wrapText="1"/>
    </x:xf>
    <x:xf numFmtId="0" fontId="25" fillId="4" borderId="3" xfId="1" applyAlignment="1">
      <x:alignment horizontal="center" vertical="center"/>
    </x:xf>
    <x:xf numFmtId="0" fontId="26" fillId="4" borderId="2" xfId="1"/>
    <x:xf numFmtId="0" fontId="26" fillId="4" borderId="2" xfId="1" applyAlignment="1">
      <x:alignment horizontal="center" vertical="center"/>
    </x:xf>
    <x:xf numFmtId="0" fontId="19" fillId="4" borderId="2" xfId="1" applyAlignment="1">
      <x:alignment horizontal="center" vertical="center"/>
    </x:xf>
    <x:xf numFmtId="0" fontId="27" fillId="4" borderId="2" xfId="1" applyNumberFormat="1" applyFont="1" applyFill="1" applyBorder="1"/>
    <x:xf numFmtId="0" fontId="27" fillId="4" borderId="2" xfId="1" applyNumberFormat="1" applyFont="1" applyFill="1" applyBorder="1" applyAlignment="1">
      <x:alignment wrapText="1"/>
    </x:xf>
    <x:xf numFmtId="0" fontId="27" fillId="4" borderId="2" xfId="1" applyNumberFormat="1" applyFont="1" applyFill="1" applyBorder="1" applyAlignment="1">
      <x:alignment vertical="top" wrapText="1"/>
    </x:xf>
    <x:xf numFmtId="0" fontId="27" fillId="7" borderId="2" xfId="1" applyNumberFormat="1" applyFont="1" applyFill="1" applyBorder="1"/>
    <x:xf numFmtId="0" fontId="28" fillId="7" borderId="2" xfId="1" applyNumberFormat="1" applyFont="1" applyFill="1" applyBorder="1"/>
    <x:xf numFmtId="0" fontId="28" fillId="7" borderId="2" xfId="1" applyNumberFormat="1" applyFont="1" applyFill="1" applyBorder="1" applyAlignment="1">
      <x:alignment wrapText="1"/>
    </x:xf>
    <x:xf numFmtId="0" fontId="29" fillId="6" borderId="3" xfId="1" applyNumberFormat="1" applyFont="1" applyFill="1" applyBorder="1" applyAlignment="1">
      <x:alignment horizontal="center" vertical="center" wrapText="1"/>
    </x:xf>
    <x:xf numFmtId="0" fontId="27" fillId="4" borderId="3" xfId="1" applyNumberFormat="1" applyFont="1" applyFill="1" applyBorder="1" applyAlignment="1">
      <x:alignment vertical="top" wrapText="1"/>
    </x:xf>
    <x:xf numFmtId="0" fontId="27" fillId="4" borderId="3" xfId="1" applyNumberFormat="1" applyFont="1" applyFill="1" applyBorder="1" applyAlignment="1">
      <x:alignment horizontal="center" vertical="center"/>
    </x:xf>
    <x:xf numFmtId="0" fontId="30" fillId="4" borderId="3" xfId="1" applyNumberFormat="1" applyFont="1" applyFill="1" applyBorder="1" applyAlignment="1">
      <x:alignment horizontal="center" vertical="center"/>
    </x:xf>
    <x:xf numFmtId="0" fontId="31" fillId="4" borderId="2" xfId="1" applyNumberFormat="1" applyFont="1" applyFill="1" applyBorder="1"/>
    <x:xf numFmtId="0" fontId="31" fillId="4" borderId="2" xfId="1" applyNumberFormat="1" applyFont="1" applyFill="1" applyBorder="1" applyAlignment="1">
      <x:alignment horizontal="center" vertical="center"/>
    </x:xf>
    <x:xf numFmtId="0" fontId="27" fillId="4" borderId="2" xfId="1" applyNumberFormat="1" applyFont="1" applyFill="1" applyBorder="1" applyAlignment="1">
      <x:alignment horizontal="center" vertical="center"/>
    </x:xf>
    <x:xf numFmtId="0" fontId="32" fillId="7" borderId="2" xfId="1" applyNumberFormat="1" applyFont="1" applyFill="1" applyBorder="1"/>
    <x:xf numFmtId="200" fontId="31" fillId="4" borderId="2" xfId="1" applyNumberFormat="1" applyFont="1" applyFill="1" applyBorder="1" applyAlignment="1">
      <x:alignment horizontal="center" vertical="center"/>
    </x:xf>
    <x:xf numFmtId="201" fontId="27" fillId="4" borderId="2" xfId="1" applyNumberFormat="1" applyFont="1" applyFill="1" applyBorder="1" applyAlignment="1">
      <x:alignment horizontal="center" vertical="center"/>
    </x:xf>
    <x:xf numFmtId="0" fontId="33" fillId="4" borderId="2" xfId="1" applyNumberFormat="1" applyFont="1" applyFill="1" applyBorder="1"/>
    <x:xf numFmtId="0" fontId="34" fillId="4" borderId="2" xfId="1" applyNumberFormat="1" applyFont="1" applyFill="1" applyBorder="1"/>
    <x:xf numFmtId="0" fontId="35" fillId="4" borderId="2" xfId="1" applyNumberFormat="1" applyFont="1" applyFill="1" applyBorder="1"/>
    <x:xf numFmtId="0" fontId="29" fillId="6" borderId="3" xfId="1" applyNumberFormat="1" applyFont="1" applyFill="1" applyBorder="1" applyAlignment="1">
      <x:alignment horizontal="center" vertical="center"/>
    </x:xf>
    <x:xf numFmtId="0" fontId="27" fillId="4" borderId="3" xfId="1" applyNumberFormat="1" applyFont="1" applyFill="1" applyBorder="1"/>
    <x:xf numFmtId="0" fontId="36" fillId="4" borderId="2" xfId="1" applyNumberFormat="1" applyFont="1" applyFill="1" applyBorder="1" applyAlignment="1">
      <x:alignment vertical="top" wrapText="1"/>
    </x:xf>
    <x:xf numFmtId="0" fontId="34" fillId="4" borderId="2" xfId="1" applyNumberFormat="1" applyFont="1" applyFill="1" applyBorder="1" applyAlignment="1">
      <x:alignment wrapText="1"/>
    </x:xf>
    <x:xf numFmtId="200" fontId="27" fillId="4" borderId="3" xfId="1" applyNumberFormat="1" applyFont="1" applyFill="1" applyBorder="1" applyAlignment="1">
      <x:alignment horizontal="center" vertical="center"/>
    </x:xf>
    <x:xf numFmtId="201" fontId="27" fillId="4" borderId="3" xfId="1" applyNumberFormat="1" applyFont="1" applyFill="1" applyBorder="1" applyAlignment="1">
      <x:alignment horizontal="center" vertical="center"/>
    </x:xf>
    <x:xf numFmtId="0" fontId="19" fillId="4" borderId="2" xfId="1" applyNumberFormat="1" applyFont="1" applyFill="1" applyBorder="1" applyAlignment="1">
      <x:alignment wrapText="1"/>
    </x:xf>
    <x:xf numFmtId="0" fontId="27" fillId="4" borderId="2" xfId="1" applyNumberFormat="1" applyFont="1" applyFill="1" applyBorder="1" applyAlignment="1">
      <x:alignment vertical="center" wrapText="1"/>
    </x:xf>
    <x:xf numFmtId="0" fontId="37" fillId="4" borderId="2" xfId="1" applyNumberFormat="1" applyFont="1" applyFill="1" applyBorder="1" applyAlignment="1">
      <x:alignment vertical="center" wrapText="1"/>
    </x:xf>
    <x:xf numFmtId="0" fontId="38" fillId="4" borderId="2" xfId="1" applyNumberFormat="1" applyFont="1" applyFill="1" applyBorder="1"/>
    <x:xf numFmtId="0" fontId="39" fillId="4" borderId="2" xfId="1" applyNumberFormat="1" applyFont="1" applyFill="1" applyBorder="1" applyAlignment="1">
      <x:alignment wrapText="1"/>
    </x:xf>
    <x:xf numFmtId="0" fontId="28" fillId="6" borderId="3" xfId="1" applyNumberFormat="1" applyFont="1" applyFill="1" applyBorder="1" applyAlignment="1">
      <x:alignment horizontal="center" vertical="center"/>
    </x:xf>
    <x:xf numFmtId="0" fontId="40" fillId="4" borderId="2" xfId="1" applyNumberFormat="1" applyFont="1" applyFill="1" applyBorder="1" applyAlignment="1">
      <x:alignment vertical="top" wrapText="1"/>
    </x:xf>
    <x:xf numFmtId="0" fontId="38" fillId="4" borderId="2" xfId="1" applyNumberFormat="1" applyFont="1" applyFill="1" applyBorder="1" applyAlignment="1">
      <x:alignment vertical="center"/>
    </x:xf>
    <x:xf numFmtId="0" fontId="27" fillId="4" borderId="2" xfId="1" applyNumberFormat="1" applyFont="1" applyFill="1" applyBorder="1" applyAlignment="1">
      <x:alignment vertical="center"/>
    </x:xf>
    <x:xf numFmtId="0" fontId="39" fillId="4" borderId="2" xfId="1" applyNumberFormat="1" applyFont="1" applyFill="1" applyBorder="1" applyAlignment="1">
      <x:alignment vertical="center" wrapText="1"/>
    </x:xf>
    <x:xf numFmtId="0" fontId="35" fillId="4" borderId="2" xfId="1" applyNumberFormat="1" applyFont="1" applyFill="1" applyBorder="1" applyAlignment="1">
      <x:alignment vertical="center"/>
    </x:xf>
    <x:xf numFmtId="0" fontId="27" fillId="4" borderId="3" xfId="1" applyNumberFormat="1" applyFont="1" applyFill="1" applyBorder="1" applyAlignment="1">
      <x:alignment vertical="center"/>
    </x:xf>
    <x:xf numFmtId="0" fontId="40" fillId="4" borderId="2" xfId="1" applyNumberFormat="1" applyFont="1" applyFill="1" applyBorder="1" applyAlignment="1">
      <x:alignment vertical="center" wrapText="1"/>
    </x:xf>
    <x:xf numFmtId="0" fontId="28" fillId="8" borderId="3" xfId="1" applyNumberFormat="1" applyFont="1" applyFill="1" applyBorder="1" applyAlignment="1">
      <x:alignment horizontal="center" vertical="center"/>
    </x:xf>
    <x:xf numFmtId="0" fontId="41" fillId="8" borderId="3" xfId="1" applyNumberFormat="1" applyFont="1" applyFill="1" applyBorder="1" applyAlignment="1">
      <x:alignment horizontal="center" vertical="center"/>
    </x:xf>
    <x:xf numFmtId="0" fontId="41" fillId="8" borderId="3" xfId="1" applyNumberFormat="1" applyFont="1" applyFill="1" applyBorder="1" applyAlignment="1">
      <x:alignment horizontal="center" vertical="center" wrapText="1"/>
    </x:xf>
    <x:xf numFmtId="0" fontId="41" fillId="8" borderId="4" xfId="1" applyNumberFormat="1" applyFont="1" applyFill="1" applyBorder="1" applyAlignment="1">
      <x:alignment horizontal="center" vertical="center" wrapText="1"/>
    </x:xf>
    <x:xf numFmtId="0" fontId="42" fillId="4" borderId="2" xfId="1" applyNumberFormat="1" applyFont="1" applyFill="1" applyBorder="1" applyAlignment="1">
      <x:alignment vertical="center"/>
    </x:xf>
    <x:xf numFmtId="0" fontId="43" fillId="4" borderId="2" xfId="1" applyNumberFormat="1" applyFont="1" applyFill="1" applyBorder="1" applyAlignment="1">
      <x:alignment vertical="center"/>
    </x:xf>
    <x:xf numFmtId="200" fontId="27" fillId="4" borderId="3" xfId="1" applyNumberFormat="1" applyFont="1" applyFill="1" applyBorder="1" applyAlignment="1">
      <x:alignment horizontal="right" vertical="center"/>
    </x:xf>
    <x:xf numFmtId="201" fontId="27" fillId="4" borderId="3" xfId="1" applyNumberFormat="1" applyFont="1" applyFill="1" applyBorder="1" applyAlignment="1">
      <x:alignment horizontal="right" vertical="center"/>
    </x:xf>
    <x:xf numFmtId="0" fontId="28" fillId="6" borderId="3" xfId="1" applyNumberFormat="1" applyFont="1" applyFill="1" applyBorder="1" applyAlignment="1">
      <x:alignment horizontal="center" vertical="center" wrapText="1"/>
    </x:xf>
    <x:xf numFmtId="0" fontId="44" fillId="4" borderId="3" xfId="1" applyNumberFormat="1" applyFont="1" applyFill="1" applyBorder="1" applyAlignment="1">
      <x:alignment horizontal="center" vertical="center"/>
    </x:xf>
    <x:xf numFmtId="200" fontId="38" fillId="4" borderId="2" xfId="1" applyNumberFormat="1" applyFont="1" applyFill="1" applyBorder="1" applyAlignment="1">
      <x:alignment horizontal="center" vertical="center"/>
    </x:xf>
    <x:xf numFmtId="0" fontId="28" fillId="7" borderId="2" xfId="1" applyNumberFormat="1" applyFont="1" applyFill="1" applyBorder="1" applyAlignment="1">
      <x:alignment vertical="center" wrapText="1"/>
    </x:xf>
    <x:xf numFmtId="0" fontId="27" fillId="4" borderId="3" xfId="1" applyNumberFormat="1" applyFont="1" applyFill="1" applyBorder="1" applyAlignment="1">
      <x:alignment vertical="center" wrapText="1"/>
    </x:xf>
    <x:xf numFmtId="0" fontId="28" fillId="6" borderId="4" xfId="1" applyNumberFormat="1" applyFont="1" applyFill="1" applyBorder="1" applyAlignment="1">
      <x:alignment horizontal="center" vertical="center" wrapText="1"/>
    </x:xf>
    <x:xf numFmtId="0" fontId="28" fillId="7" borderId="4" xfId="1" applyNumberFormat="1" applyFont="1" applyFill="1" applyBorder="1" applyAlignment="1">
      <x:alignment vertical="center" wrapText="1"/>
    </x:xf>
    <x:xf numFmtId="0" fontId="27" fillId="4" borderId="4" xfId="1" applyNumberFormat="1" applyFont="1" applyFill="1" applyBorder="1" applyAlignment="1">
      <x:alignment vertical="center" wrapText="1"/>
    </x:xf>
    <x:xf numFmtId="0" fontId="27" fillId="4" borderId="4" xfId="1" applyNumberFormat="1" applyFont="1" applyFill="1" applyBorder="1" applyAlignment="1">
      <x:alignment horizontal="center" vertical="center"/>
    </x:xf>
    <x:xf numFmtId="0" fontId="27" fillId="4" borderId="4" xfId="1" applyNumberFormat="1" applyFont="1" applyFill="1" applyBorder="1" applyAlignment="1">
      <x:alignment vertical="center"/>
    </x:xf>
    <x:xf numFmtId="0" fontId="44" fillId="4" borderId="4" xfId="1" applyNumberFormat="1" applyFont="1" applyFill="1" applyBorder="1" applyAlignment="1">
      <x:alignment horizontal="center" vertical="center"/>
    </x:xf>
    <x:xf numFmtId="0" fontId="38" fillId="4" borderId="4" xfId="1" applyNumberFormat="1" applyFont="1" applyFill="1" applyBorder="1" applyAlignment="1">
      <x:alignment vertical="center"/>
    </x:xf>
    <x:xf numFmtId="200" fontId="38" fillId="4" borderId="4" xfId="1" applyNumberFormat="1" applyFont="1" applyFill="1" applyBorder="1" applyAlignment="1">
      <x:alignment horizontal="center" vertical="center"/>
    </x:xf>
    <x:xf numFmtId="201" fontId="27" fillId="4" borderId="4" xfId="1" applyNumberFormat="1" applyFont="1" applyFill="1" applyBorder="1" applyAlignment="1">
      <x:alignment horizontal="center" vertical="center"/>
    </x:xf>
    <x:xf numFmtId="0" fontId="28" fillId="8" borderId="4" xfId="1" applyNumberFormat="1" applyFont="1" applyFill="1" applyBorder="1" applyAlignment="1">
      <x:alignment horizontal="center" vertical="center" wrapText="1"/>
    </x:xf>
    <x:xf numFmtId="0" fontId="28" fillId="8" borderId="4" xfId="1" applyNumberFormat="1" applyFont="1" applyFill="1" applyBorder="1" applyAlignment="1">
      <x:alignment vertical="center" wrapText="1"/>
    </x:xf>
    <x:xf numFmtId="0" fontId="41" fillId="8" borderId="4" xfId="1" applyNumberFormat="1" applyFont="1" applyFill="1" applyBorder="1" applyAlignment="1">
      <x:alignment vertical="center" wrapText="1"/>
    </x:xf>
    <x:xf numFmtId="0" fontId="27" fillId="4" borderId="4" xfId="1" applyNumberFormat="1" applyFont="1" applyFill="1" applyBorder="1" applyAlignment="1">
      <x:alignment horizontal="right" vertical="center"/>
    </x:xf>
    <x:xf numFmtId="0" fontId="44" fillId="4" borderId="4" xfId="1" applyNumberFormat="1" applyFont="1" applyFill="1" applyBorder="1" applyAlignment="1">
      <x:alignment horizontal="right" vertical="center"/>
    </x:xf>
    <x:xf numFmtId="200" fontId="38" fillId="4" borderId="4" xfId="1" applyNumberFormat="1" applyFont="1" applyFill="1" applyBorder="1" applyAlignment="1">
      <x:alignment horizontal="right" vertical="center"/>
    </x:xf>
    <x:xf numFmtId="201" fontId="27" fillId="4" borderId="4" xfId="1" applyNumberFormat="1" applyFont="1" applyFill="1" applyBorder="1" applyAlignment="1">
      <x:alignment horizontal="right" vertical="center"/>
    </x:xf>
    <x:xf numFmtId="0" fontId="45" fillId="4" borderId="2" xfId="1" applyNumberFormat="1" applyFont="1" applyFill="1" applyBorder="1" applyAlignment="1">
      <x:alignment vertical="center" wrapText="1"/>
    </x:xf>
    <x:xf numFmtId="0" fontId="43" fillId="4" borderId="2" xfId="1" applyNumberFormat="1" applyFont="1" applyFill="1" applyBorder="1" applyAlignment="1">
      <x:alignment vertical="center" wrapText="1"/>
    </x:xf>
    <x:xf numFmtId="0" fontId="27" fillId="8" borderId="4" xfId="1" applyNumberFormat="1" applyFont="1" applyFill="1" applyBorder="1" applyAlignment="1">
      <x:alignment vertical="center" wrapText="1"/>
    </x:xf>
    <x:xf numFmtId="0" fontId="37" fillId="8" borderId="4" xfId="1" applyNumberFormat="1" applyFont="1" applyFill="1" applyBorder="1" applyAlignment="1">
      <x:alignment vertical="center" wrapText="1"/>
    </x:xf>
    <x:xf numFmtId="0" fontId="27" fillId="4" borderId="4" xfId="1" applyNumberFormat="1" applyFont="1" applyFill="1" applyBorder="1" applyAlignment="1">
      <x:alignment horizontal="righ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79836f6c34d53" /><Relationship Type="http://schemas.openxmlformats.org/officeDocument/2006/relationships/theme" Target="/xl/theme/theme1.xml" Id="Rbed7361670dc4fd8" /><Relationship Type="http://schemas.openxmlformats.org/officeDocument/2006/relationships/sharedStrings" Target="/xl/sharedStrings.xml" Id="Rb08eae841f584109" /><Relationship Type="http://schemas.openxmlformats.org/officeDocument/2006/relationships/worksheet" Target="/xl/worksheets/sheet1.xml" Id="R4e58516eadc349da" /><Relationship Type="http://schemas.openxmlformats.org/officeDocument/2006/relationships/worksheet" Target="/xl/worksheets/sheet2.xml" Id="R231d0f303a4a4968" /><Relationship Type="http://schemas.openxmlformats.org/officeDocument/2006/relationships/worksheet" Target="/xl/worksheets/sheet3.xml" Id="Rb918c076e24241c2" /><Relationship Type="http://schemas.openxmlformats.org/officeDocument/2006/relationships/worksheet" Target="/xl/worksheets/sheet4.xml" Id="R2da98e4ed3094696" /><Relationship Type="http://schemas.openxmlformats.org/officeDocument/2006/relationships/worksheet" Target="/xl/worksheets/sheet5.xml" Id="Rde235dc2fe1a4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20" customWidth="1"/>
    <x:col min="4" max="4" width="12" customWidth="1"/>
  </x:cols>
  <x:sheetData>
    <x:row r="1">
      <x:c r="A1" s="99" t="str">
        <x:v>Recall of 17 Track A candidate constructs after semantic review</x:v>
      </x:c>
      <x:c r="B1" s="89"/>
      <x:c r="C1" s="89"/>
      <x:c r="D1" s="89"/>
    </x:row>
    <x:row r="2" ht="52" customHeight="1">
      <x:c r="A2" s="90" t="str">
        <x:v>Denominator = 17 pre-adjudication constructs. Recall requires a verified semantic match with the correct subject and relevant timing. Construct discovery does not validate causal roles, DAG edges or current study ratings.</x:v>
      </x:c>
      <x:c r="B2" s="82"/>
      <x:c r="C2" s="82"/>
      <x:c r="D2" s="82"/>
    </x:row>
    <x:row r="3">
      <x:c r="A3" s="89"/>
      <x:c r="B3" s="89"/>
      <x:c r="C3" s="89"/>
      <x:c r="D3" s="89"/>
    </x:row>
    <x:row r="4">
      <x:c r="A4" s="91" t="inlineStr">
        <x:is>
          <x:t xml:space="preserve">A. Recall per model x prompting strategy</x:t>
        </x:is>
      </x:c>
      <x:c r="B4" s="89"/>
      <x:c r="C4" s="89"/>
      <x:c r="D4" s="89"/>
    </x:row>
    <x:row r="5" ht="15" customHeight="1">
      <x:c r="A5" s="97" t="inlineStr">
        <x:is>
          <x:t xml:space="preserve">Model</x:t>
        </x:is>
      </x:c>
      <x:c r="B5" s="97" t="inlineStr">
        <x:is>
          <x:t xml:space="preserve">Prompting strategy</x:t>
        </x:is>
      </x:c>
      <x:c r="C5" s="97" t="inlineStr">
        <x:is>
          <x:t xml:space="preserve">Constructs recovered</x:t>
        </x:is>
      </x:c>
      <x:c r="D5" s="97" t="inlineStr">
        <x:is>
          <x:t xml:space="preserve">Recall</x:t>
        </x:is>
      </x:c>
    </x:row>
    <x:row r="6">
      <x:c r="A6" s="92" t="inlineStr">
        <x:is>
          <x:t xml:space="preserve">GPT5.5</x:t>
        </x:is>
      </x:c>
      <x:c r="B6" s="92" t="inlineStr">
        <x:is>
          <x:t xml:space="preserve">A (zero-shot)</x:t>
        </x:is>
      </x:c>
      <x:c r="C6" s="100" t="n">
        <x:f>'LLM recall ABC 3model'!C21</x:f>
        <x:v>17</x:v>
      </x:c>
      <x:c r="D6" s="101" t="n">
        <x:f>C6/17</x:f>
        <x:v>1</x:v>
      </x:c>
    </x:row>
    <x:row r="7">
      <x:c r="A7" s="92" t="inlineStr">
        <x:is>
          <x:t xml:space="preserve">GPT5.5</x:t>
        </x:is>
      </x:c>
      <x:c r="B7" s="92" t="inlineStr">
        <x:is>
          <x:t xml:space="preserve">B (generic chain-of-thought)</x:t>
        </x:is>
      </x:c>
      <x:c r="C7" s="100" t="n">
        <x:f>'LLM recall ABC 3model'!D21</x:f>
        <x:v>17</x:v>
      </x:c>
      <x:c r="D7" s="101" t="n">
        <x:f>C7/17</x:f>
        <x:v>1</x:v>
      </x:c>
    </x:row>
    <x:row r="8">
      <x:c r="A8" s="92" t="inlineStr">
        <x:is>
          <x:t xml:space="preserve">GPT5.5</x:t>
        </x:is>
      </x:c>
      <x:c r="B8" s="92" t="inlineStr">
        <x:is>
          <x:t xml:space="preserve">C (framework chain-of-thought)</x:t>
        </x:is>
      </x:c>
      <x:c r="C8" s="100" t="n">
        <x:f>'LLM recall ABC 3model'!E21</x:f>
        <x:v>17</x:v>
      </x:c>
      <x:c r="D8" s="101" t="n">
        <x:f>C8/17</x:f>
        <x:v>1</x:v>
      </x:c>
    </x:row>
    <x:row r="9">
      <x:c r="A9" s="92" t="inlineStr">
        <x:is>
          <x:t xml:space="preserve">DeepSeekV4</x:t>
        </x:is>
      </x:c>
      <x:c r="B9" s="92" t="inlineStr">
        <x:is>
          <x:t xml:space="preserve">A (zero-shot)</x:t>
        </x:is>
      </x:c>
      <x:c r="C9" s="100" t="n">
        <x:f>'LLM recall ABC 3model'!F21</x:f>
        <x:v>17</x:v>
      </x:c>
      <x:c r="D9" s="101" t="n">
        <x:f>C9/17</x:f>
        <x:v>1</x:v>
      </x:c>
    </x:row>
    <x:row r="10">
      <x:c r="A10" s="92" t="inlineStr">
        <x:is>
          <x:t xml:space="preserve">DeepSeekV4</x:t>
        </x:is>
      </x:c>
      <x:c r="B10" s="92" t="inlineStr">
        <x:is>
          <x:t xml:space="preserve">B (generic chain-of-thought)</x:t>
        </x:is>
      </x:c>
      <x:c r="C10" s="100" t="n">
        <x:f>'LLM recall ABC 3model'!G21</x:f>
        <x:v>17</x:v>
      </x:c>
      <x:c r="D10" s="101" t="n">
        <x:f>C10/17</x:f>
        <x:v>1</x:v>
      </x:c>
    </x:row>
    <x:row r="11">
      <x:c r="A11" s="92" t="inlineStr">
        <x:is>
          <x:t xml:space="preserve">DeepSeekV4</x:t>
        </x:is>
      </x:c>
      <x:c r="B11" s="92" t="inlineStr">
        <x:is>
          <x:t xml:space="preserve">C (framework chain-of-thought)</x:t>
        </x:is>
      </x:c>
      <x:c r="C11" s="100" t="n">
        <x:f>'LLM recall ABC 3model'!H21</x:f>
        <x:v>17</x:v>
      </x:c>
      <x:c r="D11" s="101" t="n">
        <x:f>C11/17</x:f>
        <x:v>1</x:v>
      </x:c>
    </x:row>
    <x:row r="12">
      <x:c r="A12" s="92" t="inlineStr">
        <x:is>
          <x:t xml:space="preserve">Gemini3.1</x:t>
        </x:is>
      </x:c>
      <x:c r="B12" s="92" t="inlineStr">
        <x:is>
          <x:t xml:space="preserve">A (zero-shot)</x:t>
        </x:is>
      </x:c>
      <x:c r="C12" s="100" t="n">
        <x:f>'LLM recall ABC 3model'!I21</x:f>
        <x:v>13</x:v>
      </x:c>
      <x:c r="D12" s="101" t="n">
        <x:f>C12/17</x:f>
        <x:v>0.7647058823529411</x:v>
      </x:c>
    </x:row>
    <x:row r="13">
      <x:c r="A13" s="92" t="inlineStr">
        <x:is>
          <x:t xml:space="preserve">Gemini3.1</x:t>
        </x:is>
      </x:c>
      <x:c r="B13" s="92" t="inlineStr">
        <x:is>
          <x:t xml:space="preserve">B (generic chain-of-thought)</x:t>
        </x:is>
      </x:c>
      <x:c r="C13" s="100" t="n">
        <x:f>'LLM recall ABC 3model'!J21</x:f>
        <x:v>15</x:v>
      </x:c>
      <x:c r="D13" s="101" t="n">
        <x:f>C13/17</x:f>
        <x:v>0.8823529411764706</x:v>
      </x:c>
    </x:row>
    <x:row r="14">
      <x:c r="A14" s="92" t="inlineStr">
        <x:is>
          <x:t xml:space="preserve">Gemini3.1</x:t>
        </x:is>
      </x:c>
      <x:c r="B14" s="92" t="inlineStr">
        <x:is>
          <x:t xml:space="preserve">C (framework chain-of-thought)</x:t>
        </x:is>
      </x:c>
      <x:c r="C14" s="100" t="n">
        <x:f>'LLM recall ABC 3model'!K21</x:f>
        <x:v>14</x:v>
      </x:c>
      <x:c r="D14" s="101" t="n">
        <x:f>C14/17</x:f>
        <x:v>0.8235294117647058</x:v>
      </x:c>
    </x:row>
    <x:row r="15">
      <x:c r="A15" s="89"/>
      <x:c r="B15" s="89"/>
      <x:c r="C15" s="89"/>
      <x:c r="D15" s="89"/>
    </x:row>
    <x:row r="16">
      <x:c r="A16" s="91" t="inlineStr">
        <x:is>
          <x:t xml:space="preserve">B. Recall per model (A/B/C pooled: recovered if any scaffold recovers it)</x:t>
        </x:is>
      </x:c>
      <x:c r="B16" s="89"/>
      <x:c r="C16" s="89"/>
      <x:c r="D16" s="89"/>
    </x:row>
    <x:row r="17" ht="15" customHeight="1">
      <x:c r="A17" s="97" t="inlineStr">
        <x:is>
          <x:t xml:space="preserve">Model</x:t>
        </x:is>
      </x:c>
      <x:c r="B17" s="97" t="inlineStr">
        <x:is>
          <x:t xml:space="preserve">Constructs recovered</x:t>
        </x:is>
      </x:c>
      <x:c r="C17" s="97" t="inlineStr">
        <x:is>
          <x:t xml:space="preserve">Recall</x:t>
        </x:is>
      </x:c>
      <x:c r="D17" s="89"/>
    </x:row>
    <x:row r="18">
      <x:c r="A18" s="92" t="inlineStr">
        <x:is>
          <x:t xml:space="preserve">GPT-5.5</x:t>
        </x:is>
      </x:c>
      <x:c r="B18" s="100" t="n">
        <x:f>SUM('LLM recall ABC 3model'!M2:M18)</x:f>
        <x:v>17</x:v>
      </x:c>
      <x:c r="C18" s="101" t="n">
        <x:f>B18/17</x:f>
        <x:v>1</x:v>
      </x:c>
      <x:c r="D18" s="89"/>
    </x:row>
    <x:row r="19">
      <x:c r="A19" s="92" t="inlineStr">
        <x:is>
          <x:t xml:space="preserve">DeepSeek-V4</x:t>
        </x:is>
      </x:c>
      <x:c r="B19" s="100" t="n">
        <x:f>SUM('LLM recall ABC 3model'!N2:N18)</x:f>
        <x:v>17</x:v>
      </x:c>
      <x:c r="C19" s="101" t="n">
        <x:f>B19/17</x:f>
        <x:v>1</x:v>
      </x:c>
      <x:c r="D19" s="89"/>
    </x:row>
    <x:row r="20">
      <x:c r="A20" s="92" t="inlineStr">
        <x:is>
          <x:t xml:space="preserve">Gemini-3.1</x:t>
        </x:is>
      </x:c>
      <x:c r="B20" s="100" t="n">
        <x:f>SUM('LLM recall ABC 3model'!O2:O18)</x:f>
        <x:v>15</x:v>
      </x:c>
      <x:c r="C20" s="101" t="n">
        <x:f>B20/17</x:f>
        <x:v>0.8823529411764706</x:v>
      </x:c>
      <x:c r="D20" s="89"/>
    </x:row>
    <x:row r="21">
      <x:c r="A21" s="89"/>
      <x:c r="B21" s="89"/>
      <x:c r="C21" s="89"/>
      <x:c r="D21" s="89"/>
    </x:row>
    <x:row r="22">
      <x:c r="A22" s="91" t="inlineStr">
        <x:is>
          <x:t xml:space="preserve">C. Construct-level consensus across the three models</x:t>
        </x:is>
      </x:c>
      <x:c r="B22" s="89"/>
      <x:c r="C22" s="89"/>
      <x:c r="D22" s="89"/>
    </x:row>
    <x:row r="23" ht="15" customHeight="1">
      <x:c r="A23" s="97" t="inlineStr">
        <x:is>
          <x:t xml:space="preserve">Recovered by</x:t>
        </x:is>
      </x:c>
      <x:c r="B23" s="97" t="inlineStr">
        <x:is>
          <x:t xml:space="preserve">Constructs</x:t>
        </x:is>
      </x:c>
      <x:c r="C23" s="89"/>
      <x:c r="D23" s="89"/>
    </x:row>
    <x:row r="24">
      <x:c r="A24" s="92" t="inlineStr">
        <x:is>
          <x:t xml:space="preserve">all 3 models</x:t>
        </x:is>
      </x:c>
      <x:c r="B24" s="100" t="n">
        <x:f>COUNTIFS('LLM recall ABC 3model'!L2:L18,"3")</x:f>
        <x:v>15</x:v>
      </x:c>
      <x:c r="C24" s="89"/>
      <x:c r="D24" s="89"/>
    </x:row>
    <x:row r="25">
      <x:c r="A25" s="92" t="inlineStr">
        <x:is>
          <x:t xml:space="preserve">exactly 2 models</x:t>
        </x:is>
      </x:c>
      <x:c r="B25" s="100" t="n">
        <x:f>COUNTIFS('LLM recall ABC 3model'!L2:L18,"2")</x:f>
        <x:v>2</x:v>
      </x:c>
      <x:c r="C25" s="89"/>
      <x:c r="D25" s="89"/>
    </x:row>
    <x:row r="26">
      <x:c r="A26" s="92" t="inlineStr">
        <x:is>
          <x:t xml:space="preserve">&lt;= 1 model</x:t>
        </x:is>
      </x:c>
      <x:c r="B26" s="100" t="n">
        <x:f>COUNTIFS('LLM recall ABC 3model'!L2:L18,"&lt;=1")</x:f>
        <x:v>0</x:v>
      </x:c>
      <x:c r="C26" s="89"/>
      <x:c r="D26" s="89"/>
    </x:row>
    <x:row r="27">
      <x:c r="A27" s="92" t="inlineStr">
        <x:is>
          <x:t xml:space="preserve">the ensemble (&gt;= 1 model)</x:t>
        </x:is>
      </x:c>
      <x:c r="B27" s="100" t="n">
        <x:f>COUNTIFS('LLM recall ABC 3model'!L2:L18,"&gt;=1")</x:f>
        <x:v>17</x:v>
      </x:c>
      <x:c r="C27" s="89"/>
      <x:c r="D27" s="89"/>
    </x:row>
    <x:row r="28">
      <x:c r="A28" s="89"/>
      <x:c r="B28" s="89"/>
      <x:c r="C28" s="89"/>
      <x:c r="D28" s="89"/>
    </x:row>
    <x:row r="29" ht="60" customHeight="1">
      <x:c r="A29" s="93" t="str">
        <x:v>The ensemble recovered 17/17 constructs. Fifteen were recovered by all three models; demographic/regional context and temporal context were recovered by two. AI-assisted source verification is documented separately from author review.</x:v>
      </x:c>
      <x:c r="B29" s="82"/>
      <x:c r="C29" s="82"/>
      <x:c r="D29" s="82"/>
    </x:row>
  </x:sheetData>
  <x:mergeCells>
    <x:mergeCell ref="A29:D29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 showGridLines="0">
      <x:pane xSplit="2" ySplit="1" topLeftCell="C2" activePane="bottomRight" state="frozen"/>
    </x:sheetView>
  </x:sheetViews>
  <x:sheetFormatPr baseColWidth="8" defaultRowHeight="15"/>
  <x:cols>
    <x:col min="1" max="1" width="12" customWidth="1"/>
    <x:col min="2" max="2" width="30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12" customWidth="1"/>
    <x:col min="13" max="13" width="19" hidden="0" customWidth="1"/>
    <x:col min="14" max="14" width="19" hidden="0" customWidth="1"/>
    <x:col min="15" max="15" width="19" hidden="0" customWidth="1"/>
  </x:cols>
  <x:sheetData>
    <x:row r="1" ht="26.399999618530273" customHeight="1">
      <x:c r="A1" s="97" t="inlineStr">
        <x:is>
          <x:t xml:space="preserve">Domain</x:t>
        </x:is>
      </x:c>
      <x:c r="B1" s="97" t="inlineStr">
        <x:is>
          <x:t xml:space="preserve">Construct</x:t>
        </x:is>
      </x:c>
      <x:c r="C1" s="97" t="inlineStr">
        <x:is>
          <x:t xml:space="preserve">GPT5.5-A</x:t>
        </x:is>
      </x:c>
      <x:c r="D1" s="97" t="inlineStr">
        <x:is>
          <x:t xml:space="preserve">GPT5.5-B</x:t>
        </x:is>
      </x:c>
      <x:c r="E1" s="97" t="inlineStr">
        <x:is>
          <x:t xml:space="preserve">GPT5.5-C</x:t>
        </x:is>
      </x:c>
      <x:c r="F1" s="97" t="inlineStr">
        <x:is>
          <x:t xml:space="preserve">DeepSeekV4-A</x:t>
        </x:is>
      </x:c>
      <x:c r="G1" s="97" t="inlineStr">
        <x:is>
          <x:t xml:space="preserve">DeepSeekV4-B</x:t>
        </x:is>
      </x:c>
      <x:c r="H1" s="97" t="inlineStr">
        <x:is>
          <x:t xml:space="preserve">DeepSeekV4-C</x:t>
        </x:is>
      </x:c>
      <x:c r="I1" s="97" t="inlineStr">
        <x:is>
          <x:t xml:space="preserve">Gemini3.1-A</x:t>
        </x:is>
      </x:c>
      <x:c r="J1" s="97" t="inlineStr">
        <x:is>
          <x:t xml:space="preserve">Gemini3.1-B</x:t>
        </x:is>
      </x:c>
      <x:c r="K1" s="97" t="inlineStr">
        <x:is>
          <x:t xml:space="preserve">Gemini3.1-C</x:t>
        </x:is>
      </x:c>
      <x:c r="L1" s="97" t="inlineStr">
        <x:is>
          <x:t xml:space="preserve">Models recovering (of 3)</x:t>
        </x:is>
      </x:c>
      <x:c r="M1" s="97" t="str">
        <x:v>GPT5.5 recovered</x:v>
      </x:c>
      <x:c r="N1" s="97" t="str">
        <x:v>DeepSeekV4 recovered</x:v>
      </x:c>
      <x:c r="O1" s="97" t="str">
        <x:v>Gemini3.1 recovered</x:v>
      </x:c>
    </x:row>
    <x:row r="2">
      <x:c r="A2" s="109" t="inlineStr">
        <x:is>
          <x:t xml:space="preserve">B1</x:t>
        </x:is>
      </x:c>
      <x:c r="B2" s="109" t="inlineStr">
        <x:is>
          <x:t xml:space="preserve">Shared familial/genetic background</x:t>
        </x:is>
      </x:c>
      <x:c r="C2" s="109" t="str">
        <x:v>family history of ADHD</x:v>
      </x:c>
      <x:c r="D2" s="109" t="str">
        <x:v>family history of ADHD</x:v>
      </x:c>
      <x:c r="E2" s="109" t="str">
        <x:v>family history of ADHD</x:v>
      </x:c>
      <x:c r="F2" s="109" t="str">
        <x:v>Family history of autism spectrum disorder</x:v>
      </x:c>
      <x:c r="G2" s="109" t="str">
        <x:v>Family history of ADHD</x:v>
      </x:c>
      <x:c r="H2" s="109" t="str">
        <x:v>Family history of attention-deficit/hyperactivity disorder</x:v>
      </x:c>
      <x:c r="I2" s="109" t="str">
        <x:v>family history of ASD</x:v>
      </x:c>
      <x:c r="J2" s="109" t="str">
        <x:v>Family history of ADHD or other neurodevelopmental disorders</x:v>
      </x:c>
      <x:c r="K2" s="109" t="str">
        <x:v>Family history of ASD or neurodevelopmental disorders</x:v>
      </x:c>
      <x:c r="L2" s="119" t="n">
        <x:f>SUM(M2:O2)</x:f>
        <x:v>3</x:v>
      </x:c>
      <x:c r="M2" s="119" t="n">
        <x:f>IF(COUNTIFS(C2:E2,"&lt;&gt;—")&gt;0,1,0)</x:f>
        <x:v>1</x:v>
      </x:c>
      <x:c r="N2" s="119" t="n">
        <x:f>IF(COUNTIFS(F2:H2,"&lt;&gt;—")&gt;0,1,0)</x:f>
        <x:v>1</x:v>
      </x:c>
      <x:c r="O2" s="119" t="n">
        <x:f>IF(COUNTIFS(I2:K2,"&lt;&gt;—")&gt;0,1,0)</x:f>
        <x:v>1</x:v>
      </x:c>
    </x:row>
    <x:row r="3">
      <x:c r="A3" s="109" t="inlineStr">
        <x:is>
          <x:t xml:space="preserve">B1</x:t>
        </x:is>
      </x:c>
      <x:c r="B3" s="109" t="inlineStr">
        <x:is>
          <x:t xml:space="preserve">Maternal neurodevelopmental liability</x:t>
        </x:is>
      </x:c>
      <x:c r="C3" s="109" t="str">
        <x:v>maternal ADHD diagnosis before pregnancy</x:v>
      </x:c>
      <x:c r="D3" s="109" t="str">
        <x:v>maternal ADHD</x:v>
      </x:c>
      <x:c r="E3" s="109" t="str">
        <x:v>maternal ADHD before pregnancy</x:v>
      </x:c>
      <x:c r="F3" s="109" t="str">
        <x:v>maternal history of ADHD</x:v>
      </x:c>
      <x:c r="G3" s="109" t="str">
        <x:v>Maternal ADHD diagnosis or symptoms</x:v>
      </x:c>
      <x:c r="H3" s="109" t="str">
        <x:v>Maternal cognitive ability</x:v>
      </x:c>
      <x:c r="I3" s="109" t="str">
        <x:v>Maternal ADHD diagnosis or symptoms</x:v>
      </x:c>
      <x:c r="J3" s="109" t="str">
        <x:v>Maternal ADHD</x:v>
      </x:c>
      <x:c r="K3" s="109" t="str">
        <x:v>Maternal ADHD</x:v>
      </x:c>
      <x:c r="L3" s="119" t="n">
        <x:f>SUM(M3:O3)</x:f>
        <x:v>3</x:v>
      </x:c>
      <x:c r="M3" s="119" t="n">
        <x:f>IF(COUNTIFS(C3:E3,"&lt;&gt;—")&gt;0,1,0)</x:f>
        <x:v>1</x:v>
      </x:c>
      <x:c r="N3" s="119" t="n">
        <x:f>IF(COUNTIFS(F3:H3,"&lt;&gt;—")&gt;0,1,0)</x:f>
        <x:v>1</x:v>
      </x:c>
      <x:c r="O3" s="119" t="n">
        <x:f>IF(COUNTIFS(I3:K3,"&lt;&gt;—")&gt;0,1,0)</x:f>
        <x:v>1</x:v>
      </x:c>
    </x:row>
    <x:row r="4">
      <x:c r="A4" s="109" t="inlineStr">
        <x:is>
          <x:t xml:space="preserve">B1</x:t>
        </x:is>
      </x:c>
      <x:c r="B4" s="109" t="inlineStr">
        <x:is>
          <x:t xml:space="preserve">Maternal psychiatric vulnerability</x:t>
        </x:is>
      </x:c>
      <x:c r="C4" s="109" t="str">
        <x:v>maternal anxiety disorder before first paracetamol use in pregnancy</x:v>
      </x:c>
      <x:c r="D4" s="109" t="str">
        <x:v>maternal anxiety disorder before pregnancy</x:v>
      </x:c>
      <x:c r="E4" s="109" t="str">
        <x:v>maternal anxiety disorder before or early in pregnancy</x:v>
      </x:c>
      <x:c r="F4" s="109" t="str">
        <x:v>Maternal anxiety before or during pregnancy</x:v>
      </x:c>
      <x:c r="G4" s="109" t="str">
        <x:v>Maternal depression/anxiety during pregnancy</x:v>
      </x:c>
      <x:c r="H4" s="109" t="str">
        <x:v>Maternal anxiety history</x:v>
      </x:c>
      <x:c r="I4" s="109" t="str">
        <x:v>maternal psychiatric history</x:v>
      </x:c>
      <x:c r="J4" s="109" t="str">
        <x:v>Maternal psychiatric disorders (e.g., depression, anxiety)</x:v>
      </x:c>
      <x:c r="K4" s="109" t="str">
        <x:v>Maternal psychiatric history (e.g., depression, anxiety)</x:v>
      </x:c>
      <x:c r="L4" s="119" t="n">
        <x:f>SUM(M4:O4)</x:f>
        <x:v>3</x:v>
      </x:c>
      <x:c r="M4" s="119" t="n">
        <x:f>IF(COUNTIFS(C4:E4,"&lt;&gt;—")&gt;0,1,0)</x:f>
        <x:v>1</x:v>
      </x:c>
      <x:c r="N4" s="119" t="n">
        <x:f>IF(COUNTIFS(F4:H4,"&lt;&gt;—")&gt;0,1,0)</x:f>
        <x:v>1</x:v>
      </x:c>
      <x:c r="O4" s="119" t="n">
        <x:f>IF(COUNTIFS(I4:K4,"&lt;&gt;—")&gt;0,1,0)</x:f>
        <x:v>1</x:v>
      </x:c>
    </x:row>
    <x:row r="5">
      <x:c r="A5" s="109" t="inlineStr">
        <x:is>
          <x:t xml:space="preserve">B2</x:t>
        </x:is>
      </x:c>
      <x:c r="B5" s="109" t="inlineStr">
        <x:is>
          <x:t xml:space="preserve">Acute infection/fever indication</x:t>
        </x:is>
      </x:c>
      <x:c r="C5" s="109" t="str">
        <x:v>maternal fever before first acetaminophen use in pregnancy</x:v>
      </x:c>
      <x:c r="D5" s="109" t="str">
        <x:v>maternal fever before paracetamol initiation</x:v>
      </x:c>
      <x:c r="E5" s="109" t="str">
        <x:v>SARS-CoV-2 infection during pregnancy before paracetamol use</x:v>
      </x:c>
      <x:c r="F5" s="109" t="str">
        <x:v>Maternal fever during pregnancy before paracetamol use</x:v>
      </x:c>
      <x:c r="G5" s="109" t="str">
        <x:v>Maternal fever during pregnancy</x:v>
      </x:c>
      <x:c r="H5" s="109" t="str">
        <x:v>Maternal infection with fever in early pregnancy</x:v>
      </x:c>
      <x:c r="I5" s="109" t="str">
        <x:v>Maternal acute infection or fever during pregnancy</x:v>
      </x:c>
      <x:c r="J5" s="109" t="str">
        <x:v>Maternal fever during pregnancy</x:v>
      </x:c>
      <x:c r="K5" s="109" t="str">
        <x:v>Maternal fever during pregnancy</x:v>
      </x:c>
      <x:c r="L5" s="119" t="n">
        <x:f>SUM(M5:O5)</x:f>
        <x:v>3</x:v>
      </x:c>
      <x:c r="M5" s="119" t="n">
        <x:f>IF(COUNTIFS(C5:E5,"&lt;&gt;—")&gt;0,1,0)</x:f>
        <x:v>1</x:v>
      </x:c>
      <x:c r="N5" s="119" t="n">
        <x:f>IF(COUNTIFS(F5:H5,"&lt;&gt;—")&gt;0,1,0)</x:f>
        <x:v>1</x:v>
      </x:c>
      <x:c r="O5" s="119" t="n">
        <x:f>IF(COUNTIFS(I5:K5,"&lt;&gt;—")&gt;0,1,0)</x:f>
        <x:v>1</x:v>
      </x:c>
    </x:row>
    <x:row r="6">
      <x:c r="A6" s="109" t="inlineStr">
        <x:is>
          <x:t xml:space="preserve">B2</x:t>
        </x:is>
      </x:c>
      <x:c r="B6" s="109" t="inlineStr">
        <x:is>
          <x:t xml:space="preserve">Pain/headache/migraine indication</x:t>
        </x:is>
      </x:c>
      <x:c r="C6" s="109" t="str">
        <x:v>maternal chronic back pain before first paracetamol use in pregnancy</x:v>
      </x:c>
      <x:c r="D6" s="109" t="str">
        <x:v>maternal back pain before paracetamol initiation</x:v>
      </x:c>
      <x:c r="E6" s="109" t="str">
        <x:v>back pain before paracetamol use in pregnancy</x:v>
      </x:c>
      <x:c r="F6" s="109" t="str">
        <x:v>Maternal back pain or pelvic girdle pain</x:v>
      </x:c>
      <x:c r="G6" s="109" t="str">
        <x:v>Maternal chronic pain condition</x:v>
      </x:c>
      <x:c r="H6" s="109" t="str">
        <x:v>Maternal chronic pain condition (e.g., migraine)</x:v>
      </x:c>
      <x:c r="I6" s="109" t="str">
        <x:v>Maternal chronic pain conditions (e.g., migraines, back pain)</x:v>
      </x:c>
      <x:c r="J6" s="109" t="str">
        <x:v>Maternal chronic pain conditions</x:v>
      </x:c>
      <x:c r="K6" s="109" t="str">
        <x:v>Maternal chronic pain conditions</x:v>
      </x:c>
      <x:c r="L6" s="119" t="n">
        <x:f>SUM(M6:O6)</x:f>
        <x:v>3</x:v>
      </x:c>
      <x:c r="M6" s="119" t="n">
        <x:f>IF(COUNTIFS(C6:E6,"&lt;&gt;—")&gt;0,1,0)</x:f>
        <x:v>1</x:v>
      </x:c>
      <x:c r="N6" s="119" t="n">
        <x:f>IF(COUNTIFS(F6:H6,"&lt;&gt;—")&gt;0,1,0)</x:f>
        <x:v>1</x:v>
      </x:c>
      <x:c r="O6" s="119" t="n">
        <x:f>IF(COUNTIFS(I6:K6,"&lt;&gt;—")&gt;0,1,0)</x:f>
        <x:v>1</x:v>
      </x:c>
    </x:row>
    <x:row r="7">
      <x:c r="A7" s="109" t="inlineStr">
        <x:is>
          <x:t xml:space="preserve">B2</x:t>
        </x:is>
      </x:c>
      <x:c r="B7" s="109" t="inlineStr">
        <x:is>
          <x:t xml:space="preserve">Chronic maternal medical conditions</x:t>
        </x:is>
      </x:c>
      <x:c r="C7" s="109" t="str">
        <x:v>maternal arthritis before first paracetamol use in pregnancy</x:v>
      </x:c>
      <x:c r="D7" s="109" t="str">
        <x:v>maternal arthritis or rheumatic disease before pregnancy</x:v>
      </x:c>
      <x:c r="E7" s="109" t="str">
        <x:v>maternal arthritis or chronic joint disease</x:v>
      </x:c>
      <x:c r="F7" s="109" t="str">
        <x:v>Maternal autoimmune disease</x:v>
      </x:c>
      <x:c r="G7" s="109" t="str">
        <x:v>Maternal autoimmune disease</x:v>
      </x:c>
      <x:c r="H7" s="109" t="str">
        <x:v>Maternal autoimmune disease history</x:v>
      </x:c>
      <x:c r="I7" s="109" t="str">
        <x:v>maternal autoimmune diseases</x:v>
      </x:c>
      <x:c r="J7" s="109" t="str">
        <x:v>Maternal asthma</x:v>
      </x:c>
      <x:c r="K7" s="109" t="str">
        <x:v>Maternal asthma</x:v>
      </x:c>
      <x:c r="L7" s="119" t="n">
        <x:f>SUM(M7:O7)</x:f>
        <x:v>3</x:v>
      </x:c>
      <x:c r="M7" s="119" t="n">
        <x:f>IF(COUNTIFS(C7:E7,"&lt;&gt;—")&gt;0,1,0)</x:f>
        <x:v>1</x:v>
      </x:c>
      <x:c r="N7" s="119" t="n">
        <x:f>IF(COUNTIFS(F7:H7,"&lt;&gt;—")&gt;0,1,0)</x:f>
        <x:v>1</x:v>
      </x:c>
      <x:c r="O7" s="119" t="n">
        <x:f>IF(COUNTIFS(I7:K7,"&lt;&gt;—")&gt;0,1,0)</x:f>
        <x:v>1</x:v>
      </x:c>
    </x:row>
    <x:row r="8">
      <x:c r="A8" s="109" t="inlineStr">
        <x:is>
          <x:t xml:space="preserve">B2</x:t>
        </x:is>
      </x:c>
      <x:c r="B8" s="109" t="inlineStr">
        <x:is>
          <x:t xml:space="preserve">Pregnancy/obstetric complications</x:t>
        </x:is>
      </x:c>
      <x:c r="C8" s="109" t="str">
        <x:v>gestational diabetes diagnosed after paracetamol use</x:v>
      </x:c>
      <x:c r="D8" s="109" t="str">
        <x:v>antepartum hemorrhage after paracetamol use</x:v>
      </x:c>
      <x:c r="E8" s="109" t="str">
        <x:v>gestational diabetes after paracetamol use</x:v>
      </x:c>
      <x:c r="F8" s="109" t="str">
        <x:v>Gestational diabetes (current pregnancy)</x:v>
      </x:c>
      <x:c r="G8" s="109" t="str">
        <x:v>Gestational diabetes</x:v>
      </x:c>
      <x:c r="H8" s="109" t="str">
        <x:v>preeclampsia</x:v>
      </x:c>
      <x:c r="I8" s="109" t="str">
        <x:v>—</x:v>
      </x:c>
      <x:c r="J8" s="109" t="str">
        <x:v>Gestational diabetes</x:v>
      </x:c>
      <x:c r="K8" s="109" t="str">
        <x:v>—</x:v>
      </x:c>
      <x:c r="L8" s="119" t="n">
        <x:f>SUM(M8:O8)</x:f>
        <x:v>3</x:v>
      </x:c>
      <x:c r="M8" s="119" t="n">
        <x:f>IF(COUNTIFS(C8:E8,"&lt;&gt;—")&gt;0,1,0)</x:f>
        <x:v>1</x:v>
      </x:c>
      <x:c r="N8" s="119" t="n">
        <x:f>IF(COUNTIFS(F8:H8,"&lt;&gt;—")&gt;0,1,0)</x:f>
        <x:v>1</x:v>
      </x:c>
      <x:c r="O8" s="119" t="n">
        <x:f>IF(COUNTIFS(I8:K8,"&lt;&gt;—")&gt;0,1,0)</x:f>
        <x:v>1</x:v>
      </x:c>
    </x:row>
    <x:row r="9">
      <x:c r="A9" s="109" t="inlineStr">
        <x:is>
          <x:t xml:space="preserve">B2</x:t>
        </x:is>
      </x:c>
      <x:c r="B9" s="109" t="inlineStr">
        <x:is>
          <x:t xml:space="preserve">Concomitant medication/treatment context</x:t>
        </x:is>
      </x:c>
      <x:c r="C9" s="109" t="str">
        <x:v>maternal antibiotic use before first acetaminophen use in pregnancy</x:v>
      </x:c>
      <x:c r="D9" s="109" t="str">
        <x:v>antibiotic use before paracetamol initiation</x:v>
      </x:c>
      <x:c r="E9" s="109" t="str">
        <x:v>antibiotic use before paracetamol use in pregnancy</x:v>
      </x:c>
      <x:c r="F9" s="109" t="str">
        <x:v>Maternal use of NSAIDs during pregnancy</x:v>
      </x:c>
      <x:c r="G9" s="109" t="str">
        <x:v>Maternal NSAID use during pregnancy</x:v>
      </x:c>
      <x:c r="H9" s="109" t="str">
        <x:v>maternal_antidepressant_use; maternal_other_medication_use</x:v>
      </x:c>
      <x:c r="I9" s="109" t="str">
        <x:v>Maternal use of other medications (e.g., NSAIDs, antidepressants)</x:v>
      </x:c>
      <x:c r="J9" s="109" t="str">
        <x:v>Concomitant use of other medications (e.g., NSAIDs, antidepressants)</x:v>
      </x:c>
      <x:c r="K9" s="109" t="str">
        <x:v>Concomitant maternal medication use (e.g., SSRIs, antibiotics)</x:v>
      </x:c>
      <x:c r="L9" s="119" t="n">
        <x:f>SUM(M9:O9)</x:f>
        <x:v>3</x:v>
      </x:c>
      <x:c r="M9" s="119" t="n">
        <x:f>IF(COUNTIFS(C9:E9,"&lt;&gt;—")&gt;0,1,0)</x:f>
        <x:v>1</x:v>
      </x:c>
      <x:c r="N9" s="119" t="n">
        <x:f>IF(COUNTIFS(F9:H9,"&lt;&gt;—")&gt;0,1,0)</x:f>
        <x:v>1</x:v>
      </x:c>
      <x:c r="O9" s="119" t="n">
        <x:f>IF(COUNTIFS(I9:K9,"&lt;&gt;—")&gt;0,1,0)</x:f>
        <x:v>1</x:v>
      </x:c>
    </x:row>
    <x:row r="10">
      <x:c r="A10" s="109" t="inlineStr">
        <x:is>
          <x:t xml:space="preserve">B2</x:t>
        </x:is>
      </x:c>
      <x:c r="B10" s="109" t="inlineStr">
        <x:is>
          <x:t xml:space="preserve">Maternal metabolic/adiposity status</x:t>
        </x:is>
      </x:c>
      <x:c r="C10" s="109" t="str">
        <x:v>maternal pre-pregnancy body mass index</x:v>
      </x:c>
      <x:c r="D10" s="109" t="str">
        <x:v>maternal obesity before pregnancy</x:v>
      </x:c>
      <x:c r="E10" s="109" t="str">
        <x:v>maternal obesity before pregnancy</x:v>
      </x:c>
      <x:c r="F10" s="109" t="str">
        <x:v>Maternal pre-pregnancy body mass index</x:v>
      </x:c>
      <x:c r="G10" s="109" t="str">
        <x:v>Maternal pre-pregnancy body mass index</x:v>
      </x:c>
      <x:c r="H10" s="109" t="str">
        <x:v>Maternal pre-pregnancy body mass index</x:v>
      </x:c>
      <x:c r="I10" s="109" t="str">
        <x:v>Maternal pre-pregnancy body mass index (BMI)</x:v>
      </x:c>
      <x:c r="J10" s="109" t="str">
        <x:v>Maternal pre-pregnancy BMI</x:v>
      </x:c>
      <x:c r="K10" s="109" t="str">
        <x:v>Maternal BMI and obesity</x:v>
      </x:c>
      <x:c r="L10" s="119" t="n">
        <x:f>SUM(M10:O10)</x:f>
        <x:v>3</x:v>
      </x:c>
      <x:c r="M10" s="119" t="n">
        <x:f>IF(COUNTIFS(C10:E10,"&lt;&gt;—")&gt;0,1,0)</x:f>
        <x:v>1</x:v>
      </x:c>
      <x:c r="N10" s="119" t="n">
        <x:f>IF(COUNTIFS(F10:H10,"&lt;&gt;—")&gt;0,1,0)</x:f>
        <x:v>1</x:v>
      </x:c>
      <x:c r="O10" s="119" t="n">
        <x:f>IF(COUNTIFS(I10:K10,"&lt;&gt;—")&gt;0,1,0)</x:f>
        <x:v>1</x:v>
      </x:c>
    </x:row>
    <x:row r="11">
      <x:c r="A11" s="109" t="inlineStr">
        <x:is>
          <x:t xml:space="preserve">B3</x:t>
        </x:is>
      </x:c>
      <x:c r="B11" s="109" t="inlineStr">
        <x:is>
          <x:t xml:space="preserve">Socioeconomic position</x:t>
        </x:is>
      </x:c>
      <x:c r="C11" s="109" t="str">
        <x:v>household income before pregnancy</x:v>
      </x:c>
      <x:c r="D11" s="109" t="str">
        <x:v>household income</x:v>
      </x:c>
      <x:c r="E11" s="109" t="str">
        <x:v>household income before pregnancy</x:v>
      </x:c>
      <x:c r="F11" s="109" t="str">
        <x:v>Household income</x:v>
      </x:c>
      <x:c r="G11" s="109" t="str">
        <x:v>Household income</x:v>
      </x:c>
      <x:c r="H11" s="109" t="str">
        <x:v>Household income</x:v>
      </x:c>
      <x:c r="I11" s="109" t="str">
        <x:v>household income</x:v>
      </x:c>
      <x:c r="J11" s="109" t="str">
        <x:v>Household income</x:v>
      </x:c>
      <x:c r="K11" s="109" t="str">
        <x:v>Household socioeconomic status</x:v>
      </x:c>
      <x:c r="L11" s="119" t="n">
        <x:f>SUM(M11:O11)</x:f>
        <x:v>3</x:v>
      </x:c>
      <x:c r="M11" s="119" t="n">
        <x:f>IF(COUNTIFS(C11:E11,"&lt;&gt;—")&gt;0,1,0)</x:f>
        <x:v>1</x:v>
      </x:c>
      <x:c r="N11" s="119" t="n">
        <x:f>IF(COUNTIFS(F11:H11,"&lt;&gt;—")&gt;0,1,0)</x:f>
        <x:v>1</x:v>
      </x:c>
      <x:c r="O11" s="119" t="n">
        <x:f>IF(COUNTIFS(I11:K11,"&lt;&gt;—")&gt;0,1,0)</x:f>
        <x:v>1</x:v>
      </x:c>
    </x:row>
    <x:row r="12">
      <x:c r="A12" s="109" t="inlineStr">
        <x:is>
          <x:t xml:space="preserve">B3</x:t>
        </x:is>
      </x:c>
      <x:c r="B12" s="109" t="inlineStr">
        <x:is>
          <x:t xml:space="preserve">Demographic/regional context</x:t>
        </x:is>
      </x:c>
      <x:c r="C12" s="109" t="str">
        <x:v>geographic region of residence at conception</x:v>
      </x:c>
      <x:c r="D12" s="109" t="str">
        <x:v>maternal country of birth or immigration status</x:v>
      </x:c>
      <x:c r="E12" s="109" t="str">
        <x:v>geographic region or country of residence</x:v>
      </x:c>
      <x:c r="F12" s="109" t="str">
        <x:v>Maternal race/ethnicity</x:v>
      </x:c>
      <x:c r="G12" s="109" t="str">
        <x:v>Country of birth or immigration status</x:v>
      </x:c>
      <x:c r="H12" s="109" t="str">
        <x:v>maternal_ethnicity</x:v>
      </x:c>
      <x:c r="I12" s="109" t="str">
        <x:v>—</x:v>
      </x:c>
      <x:c r="J12" s="109" t="str">
        <x:v>—</x:v>
      </x:c>
      <x:c r="K12" s="109" t="str">
        <x:v>—</x:v>
      </x:c>
      <x:c r="L12" s="119" t="n">
        <x:f>SUM(M12:O12)</x:f>
        <x:v>2</x:v>
      </x:c>
      <x:c r="M12" s="119" t="n">
        <x:f>IF(COUNTIFS(C12:E12,"&lt;&gt;—")&gt;0,1,0)</x:f>
        <x:v>1</x:v>
      </x:c>
      <x:c r="N12" s="119" t="n">
        <x:f>IF(COUNTIFS(F12:H12,"&lt;&gt;—")&gt;0,1,0)</x:f>
        <x:v>1</x:v>
      </x:c>
      <x:c r="O12" s="119" t="n">
        <x:f>IF(COUNTIFS(I12:K12,"&lt;&gt;—")&gt;0,1,0)</x:f>
        <x:v>0</x:v>
      </x:c>
    </x:row>
    <x:row r="13">
      <x:c r="A13" s="109" t="inlineStr">
        <x:is>
          <x:t xml:space="preserve">B3</x:t>
        </x:is>
      </x:c>
      <x:c r="B13" s="109" t="inlineStr">
        <x:is>
          <x:t xml:space="preserve">Maternal demographic context</x:t>
        </x:is>
      </x:c>
      <x:c r="C13" s="109" t="str">
        <x:v>maternal age at conception</x:v>
      </x:c>
      <x:c r="D13" s="109" t="str">
        <x:v>maternal age at conception</x:v>
      </x:c>
      <x:c r="E13" s="109" t="str">
        <x:v>advanced maternal age at conception</x:v>
      </x:c>
      <x:c r="F13" s="109" t="str">
        <x:v>Maternal age at delivery</x:v>
      </x:c>
      <x:c r="G13" s="109" t="str">
        <x:v>Maternal age at conception</x:v>
      </x:c>
      <x:c r="H13" s="109" t="str">
        <x:v>Maternal age at conception</x:v>
      </x:c>
      <x:c r="I13" s="109" t="str">
        <x:v>maternal age at conception</x:v>
      </x:c>
      <x:c r="J13" s="109" t="str">
        <x:v>Maternal age at conception</x:v>
      </x:c>
      <x:c r="K13" s="109" t="str">
        <x:v>Maternal age</x:v>
      </x:c>
      <x:c r="L13" s="119" t="n">
        <x:f>SUM(M13:O13)</x:f>
        <x:v>3</x:v>
      </x:c>
      <x:c r="M13" s="119" t="n">
        <x:f>IF(COUNTIFS(C13:E13,"&lt;&gt;—")&gt;0,1,0)</x:f>
        <x:v>1</x:v>
      </x:c>
      <x:c r="N13" s="119" t="n">
        <x:f>IF(COUNTIFS(F13:H13,"&lt;&gt;—")&gt;0,1,0)</x:f>
        <x:v>1</x:v>
      </x:c>
      <x:c r="O13" s="119" t="n">
        <x:f>IF(COUNTIFS(I13:K13,"&lt;&gt;—")&gt;0,1,0)</x:f>
        <x:v>1</x:v>
      </x:c>
    </x:row>
    <x:row r="14">
      <x:c r="A14" s="109" t="inlineStr">
        <x:is>
          <x:t xml:space="preserve">B3</x:t>
        </x:is>
      </x:c>
      <x:c r="B14" s="109" t="inlineStr">
        <x:is>
          <x:t xml:space="preserve">Temporal context</x:t>
        </x:is>
      </x:c>
      <x:c r="C14" s="109" t="str">
        <x:v>calendar year of conception</x:v>
      </x:c>
      <x:c r="D14" s="109" t="str">
        <x:v>calendar year of conception</x:v>
      </x:c>
      <x:c r="E14" s="109" t="str">
        <x:v>calendar year of pregnancy</x:v>
      </x:c>
      <x:c r="F14" s="109" t="str">
        <x:v>Season of conception</x:v>
      </x:c>
      <x:c r="G14" s="109" t="str">
        <x:v>Season of conception</x:v>
      </x:c>
      <x:c r="H14" s="109" t="str">
        <x:v>season_of_conception</x:v>
      </x:c>
      <x:c r="I14" s="109" t="str">
        <x:v>—</x:v>
      </x:c>
      <x:c r="J14" s="109" t="str">
        <x:v>—</x:v>
      </x:c>
      <x:c r="K14" s="109" t="str">
        <x:v>—</x:v>
      </x:c>
      <x:c r="L14" s="120" t="n">
        <x:f>SUM(M14:O14)</x:f>
        <x:v>2</x:v>
      </x:c>
      <x:c r="M14" s="119" t="n">
        <x:f>IF(COUNTIFS(C14:E14,"&lt;&gt;—")&gt;0,1,0)</x:f>
        <x:v>1</x:v>
      </x:c>
      <x:c r="N14" s="119" t="n">
        <x:f>IF(COUNTIFS(F14:H14,"&lt;&gt;—")&gt;0,1,0)</x:f>
        <x:v>1</x:v>
      </x:c>
      <x:c r="O14" s="119" t="n">
        <x:f>IF(COUNTIFS(I14:K14,"&lt;&gt;—")&gt;0,1,0)</x:f>
        <x:v>0</x:v>
      </x:c>
    </x:row>
    <x:row r="15">
      <x:c r="A15" s="109" t="inlineStr">
        <x:is>
          <x:t xml:space="preserve">B3</x:t>
        </x:is>
      </x:c>
      <x:c r="B15" s="109" t="inlineStr">
        <x:is>
          <x:t xml:space="preserve">Family structure</x:t>
        </x:is>
      </x:c>
      <x:c r="C15" s="109" t="str">
        <x:v>maternal marital or partnership status at conception</x:v>
      </x:c>
      <x:c r="D15" s="109" t="str">
        <x:v>marital or cohabitation status at conception</x:v>
      </x:c>
      <x:c r="E15" s="109" t="str">
        <x:v>marital or cohabitation status before pregnancy</x:v>
      </x:c>
      <x:c r="F15" s="109" t="str">
        <x:v>Marital status</x:v>
      </x:c>
      <x:c r="G15" s="109" t="str">
        <x:v>Maternal marital status/partner support</x:v>
      </x:c>
      <x:c r="H15" s="109" t="str">
        <x:v>maternal_marital_status</x:v>
      </x:c>
      <x:c r="I15" s="109" t="str">
        <x:v>—</x:v>
      </x:c>
      <x:c r="J15" s="109" t="str">
        <x:v>Marital status / Family structure</x:v>
      </x:c>
      <x:c r="K15" s="109" t="str">
        <x:v>Maternal marital status</x:v>
      </x:c>
      <x:c r="L15" s="119" t="n">
        <x:f>SUM(M15:O15)</x:f>
        <x:v>3</x:v>
      </x:c>
      <x:c r="M15" s="119" t="n">
        <x:f>IF(COUNTIFS(C15:E15,"&lt;&gt;—")&gt;0,1,0)</x:f>
        <x:v>1</x:v>
      </x:c>
      <x:c r="N15" s="119" t="n">
        <x:f>IF(COUNTIFS(F15:H15,"&lt;&gt;—")&gt;0,1,0)</x:f>
        <x:v>1</x:v>
      </x:c>
      <x:c r="O15" s="119" t="n">
        <x:f>IF(COUNTIFS(I15:K15,"&lt;&gt;—")&gt;0,1,0)</x:f>
        <x:v>1</x:v>
      </x:c>
    </x:row>
    <x:row r="16">
      <x:c r="A16" s="109" t="inlineStr">
        <x:is>
          <x:t xml:space="preserve">B3</x:t>
        </x:is>
      </x:c>
      <x:c r="B16" s="109" t="inlineStr">
        <x:is>
          <x:t xml:space="preserve">Reproductive history/parity</x:t>
        </x:is>
      </x:c>
      <x:c r="C16" s="109" t="str">
        <x:v>gravidity before index pregnancy</x:v>
      </x:c>
      <x:c r="D16" s="109" t="str">
        <x:v>gravidity</x:v>
      </x:c>
      <x:c r="E16" s="109" t="str">
        <x:v>gravidity before index pregnancy</x:v>
      </x:c>
      <x:c r="F16" s="109" t="str">
        <x:v>Parity (number of previous live births)</x:v>
      </x:c>
      <x:c r="G16" s="109" t="str">
        <x:v>Parity</x:v>
      </x:c>
      <x:c r="H16" s="109" t="str">
        <x:v>parity</x:v>
      </x:c>
      <x:c r="I16" s="109" t="str">
        <x:v>Parity (number of previous pregnancies)</x:v>
      </x:c>
      <x:c r="J16" s="109" t="str">
        <x:v>Parity</x:v>
      </x:c>
      <x:c r="K16" s="109" t="str">
        <x:v>Parity</x:v>
      </x:c>
      <x:c r="L16" s="119" t="n">
        <x:f>SUM(M16:O16)</x:f>
        <x:v>3</x:v>
      </x:c>
      <x:c r="M16" s="119" t="n">
        <x:f>IF(COUNTIFS(C16:E16,"&lt;&gt;—")&gt;0,1,0)</x:f>
        <x:v>1</x:v>
      </x:c>
      <x:c r="N16" s="119" t="n">
        <x:f>IF(COUNTIFS(F16:H16,"&lt;&gt;—")&gt;0,1,0)</x:f>
        <x:v>1</x:v>
      </x:c>
      <x:c r="O16" s="119" t="n">
        <x:f>IF(COUNTIFS(I16:K16,"&lt;&gt;—")&gt;0,1,0)</x:f>
        <x:v>1</x:v>
      </x:c>
    </x:row>
    <x:row r="17">
      <x:c r="A17" s="109" t="inlineStr">
        <x:is>
          <x:t xml:space="preserve">B3</x:t>
        </x:is>
      </x:c>
      <x:c r="B17" s="109" t="inlineStr">
        <x:is>
          <x:t xml:space="preserve">Lifestyle/substance use</x:t>
        </x:is>
      </x:c>
      <x:c r="C17" s="109" t="str">
        <x:v>maternal alcohol use before first paracetamol use in pregnancy</x:v>
      </x:c>
      <x:c r="D17" s="109" t="str">
        <x:v>maternal alcohol use before paracetamol initiation</x:v>
      </x:c>
      <x:c r="E17" s="109" t="str">
        <x:v>maternal alcohol use before or during early pregnancy before paracetamol use</x:v>
      </x:c>
      <x:c r="F17" s="109" t="str">
        <x:v>Maternal alcohol consumption during pregnancy</x:v>
      </x:c>
      <x:c r="G17" s="109" t="str">
        <x:v>Maternal alcohol consumption before/during early pregnancy</x:v>
      </x:c>
      <x:c r="H17" s="109" t="str">
        <x:v>Maternal alcohol consumption during pregnancy</x:v>
      </x:c>
      <x:c r="I17" s="109" t="str">
        <x:v>Maternal alcohol consumption before or during early pregnancy</x:v>
      </x:c>
      <x:c r="J17" s="109" t="str">
        <x:v>Maternal alcohol consumption during pregnancy</x:v>
      </x:c>
      <x:c r="K17" s="109" t="str">
        <x:v>Maternal alcohol consumption during pregnancy</x:v>
      </x:c>
      <x:c r="L17" s="119" t="n">
        <x:f>SUM(M17:O17)</x:f>
        <x:v>3</x:v>
      </x:c>
      <x:c r="M17" s="119" t="n">
        <x:f>IF(COUNTIFS(C17:E17,"&lt;&gt;—")&gt;0,1,0)</x:f>
        <x:v>1</x:v>
      </x:c>
      <x:c r="N17" s="119" t="n">
        <x:f>IF(COUNTIFS(F17:H17,"&lt;&gt;—")&gt;0,1,0)</x:f>
        <x:v>1</x:v>
      </x:c>
      <x:c r="O17" s="119" t="n">
        <x:f>IF(COUNTIFS(I17:K17,"&lt;&gt;—")&gt;0,1,0)</x:f>
        <x:v>1</x:v>
      </x:c>
    </x:row>
    <x:row r="18">
      <x:c r="A18" s="109" t="inlineStr">
        <x:is>
          <x:t xml:space="preserve">B3</x:t>
        </x:is>
      </x:c>
      <x:c r="B18" s="109" t="inlineStr">
        <x:is>
          <x:t xml:space="preserve">Psychosocial stress</x:t>
        </x:is>
      </x:c>
      <x:c r="C18" s="109" t="str">
        <x:v>intimate partner violence before pregnancy</x:v>
      </x:c>
      <x:c r="D18" s="109" t="str">
        <x:v>intimate partner violence before paracetamol initiation</x:v>
      </x:c>
      <x:c r="E18" s="109" t="str">
        <x:v>intimate partner violence before or during early pregnancy</x:v>
      </x:c>
      <x:c r="F18" s="109" t="str">
        <x:v>Maternal stress during early pregnancy</x:v>
      </x:c>
      <x:c r="G18" s="109" t="str">
        <x:v>Maternal childhood adversity</x:v>
      </x:c>
      <x:c r="H18" s="109" t="str">
        <x:v>maternal_stress</x:v>
      </x:c>
      <x:c r="I18" s="109" t="str">
        <x:v>Maternal psychosocial stress during pregnancy</x:v>
      </x:c>
      <x:c r="J18" s="109" t="str">
        <x:v>Maternal stress during pregnancy</x:v>
      </x:c>
      <x:c r="K18" s="109" t="str">
        <x:v>Maternal stress and adverse life events</x:v>
      </x:c>
      <x:c r="L18" s="119" t="n">
        <x:f>SUM(M18:O18)</x:f>
        <x:v>3</x:v>
      </x:c>
      <x:c r="M18" s="119" t="n">
        <x:f>IF(COUNTIFS(C18:E18,"&lt;&gt;—")&gt;0,1,0)</x:f>
        <x:v>1</x:v>
      </x:c>
      <x:c r="N18" s="119" t="n">
        <x:f>IF(COUNTIFS(F18:H18,"&lt;&gt;—")&gt;0,1,0)</x:f>
        <x:v>1</x:v>
      </x:c>
      <x:c r="O18" s="119" t="n">
        <x:f>IF(COUNTIFS(I18:K18,"&lt;&gt;—")&gt;0,1,0)</x:f>
        <x:v>1</x:v>
      </x:c>
    </x:row>
    <x:row r="19">
      <x:c r="A19" s="109" t="inlineStr">
        <x:is>
          <x:t xml:space="preserve">blind-spot</x:t>
        </x:is>
      </x:c>
      <x:c r="B19" s="109" t="inlineStr">
        <x:is>
          <x:t xml:space="preserve">Environmental/occupational toxicant exposures</x:t>
        </x:is>
      </x:c>
      <x:c r="C19" s="109" t="inlineStr">
        <x:is>
          <x:t xml:space="preserve">ambient PM2.5 air pollution exposure before first paracetamol use in pregnancy; ambient air pollution exposure before pregnancy; maternal PFAS exposure before first paracetamol use in pregnancy; maternal bisphenol A exposure before first paracetamol use in pregnancy; maternal bisphenol A exposure before pregnancy; maternal lead exposure before pregnancy; maternal occupational solvent exposure before first paracetamol use in pregnancy; maternal occupational solvent exposure before pregnancy; maternal pesticide exposure before pregnancy; maternal phthalate exposure before first paracetamol use in pregnancy; maternal phthalate exposure before pregnancy; paternal occupational toxicant exposure before conception; residential pesticide exposure before first paracetamol use in pregnancy; traffic-related air pollution exposure before first paracetamol use in pregnancy</x:t>
        </x:is>
      </x:c>
      <x:c r="D19" s="109" t="inlineStr">
        <x:is>
          <x:t xml:space="preserve">PFAS exposure before paracetamol use; ambient air pollution exposure before paracetamol use; bisphenol A exposure before paracetamol use; lead exposure before paracetamol use; maternal bisphenol A exposure before or early in pregnancy; maternal blood lead level before or early in pregnancy; maternal pesticide exposure before pregnancy; maternal phthalate exposure before or early in pregnancy; occupational solvent exposure before paracetamol use; pesticide exposure before paracetamol use; phthalate exposure before paracetamol use; residential traffic-related air pollution before pregnancy</x:t>
        </x:is>
      </x:c>
      <x:c r="E19" s="109" t="inlineStr">
        <x:is>
          <x:t xml:space="preserve">ambient air pollution exposure before or during early pregnancy; ambient air pollution exposure before or early in pregnancy; maternal PFAS exposure before or early in pregnancy; maternal bisphenol A exposure before or early in pregnancy; maternal lead exposure before or early in pregnancy; maternal occupational solvent exposure before or early in pregnancy; maternal pesticide exposure before or early in pregnancy; maternal phthalate exposure before or early in pregnancy; occupational exposure to pesticides before or during early pregnancy; occupational exposure to solvents before or during early pregnancy; residential pesticide exposure before or during early pregnancy; traffic-related air pollution before or during early pregnancy</x:t>
        </x:is>
      </x:c>
      <x:c r="F19" s="109" t="inlineStr">
        <x:is>
          <x:t xml:space="preserve">Air pollution exposure during early pregnancy (e.g., PM2.5); Lead exposure during pregnancy; Pesticide exposure during pregnancy; maternal pre-pregnancy lead exposure; residential air pollution exposure before pregnancy</x:t>
        </x:is>
      </x:c>
      <x:c r="G19" s="109" t="inlineStr">
        <x:is>
          <x:t xml:space="preserve">Air pollution exposure during pregnancy; Maternal pre-pregnancy environmental toxin exposure (lead, air pollution); Paternal occupational exposures</x:t>
        </x:is>
      </x:c>
      <x:c r="H19" s="109" t="inlineStr">
        <x:is>
          <x:t xml:space="preserve">—</x:t>
        </x:is>
      </x:c>
      <x:c r="I19" s="109" t="inlineStr">
        <x:is>
          <x:t xml:space="preserve">environmental endocrine disruptor exposure</x:t>
        </x:is>
      </x:c>
      <x:c r="J19" s="109" t="inlineStr">
        <x:is>
          <x:t xml:space="preserve">Maternal occupational exposures</x:t>
        </x:is>
      </x:c>
      <x:c r="K19" s="109" t="inlineStr">
        <x:is>
          <x:t xml:space="preserve">—</x:t>
        </x:is>
      </x:c>
      <x:c r="L19" s="119" t="n">
        <x:v>3</x:v>
      </x:c>
      <x:c r="M19" s="111"/>
      <x:c r="N19" s="111"/>
      <x:c r="O19" s="111"/>
    </x:row>
    <x:row r="20">
      <x:c r="A20" s="109" t="inlineStr">
        <x:is>
          <x:t xml:space="preserve">blind-spot</x:t>
        </x:is>
      </x:c>
      <x:c r="B20" s="109" t="inlineStr">
        <x:is>
          <x:t xml:space="preserve">Acetaminophen pharmacogenetics/metabolism</x:t>
        </x:is>
      </x:c>
      <x:c r="C20" s="109" t="inlineStr">
        <x:is>
          <x:t xml:space="preserve">fetal CYP2E1 genotype; maternal CYP2E1 genotype</x:t>
        </x:is>
      </x:c>
      <x:c r="D20" s="109" t="inlineStr">
        <x:is>
          <x:t xml:space="preserve">—</x:t>
        </x:is>
      </x:c>
      <x:c r="E20" s="109" t="inlineStr">
        <x:is>
          <x:t xml:space="preserve">maternal genetic variants affecting acetaminophen metabolism</x:t>
        </x:is>
      </x:c>
      <x:c r="F20" s="109" t="inlineStr">
        <x:is>
          <x:t xml:space="preserve">Maternal CYP2E1 polymorphism; Maternal GSTT1/GSTM1 null genotype</x:t>
        </x:is>
      </x:c>
      <x:c r="G20" s="109" t="inlineStr">
        <x:is>
          <x:t xml:space="preserve">—</x:t>
        </x:is>
      </x:c>
      <x:c r="H20" s="109" t="inlineStr">
        <x:is>
          <x:t xml:space="preserve">—</x:t>
        </x:is>
      </x:c>
      <x:c r="I20" s="109" t="inlineStr">
        <x:is>
          <x:t xml:space="preserve">—</x:t>
        </x:is>
      </x:c>
      <x:c r="J20" s="109" t="inlineStr">
        <x:is>
          <x:t xml:space="preserve">—</x:t>
        </x:is>
      </x:c>
      <x:c r="K20" s="109" t="inlineStr">
        <x:is>
          <x:t xml:space="preserve">—</x:t>
        </x:is>
      </x:c>
      <x:c r="L20" s="119" t="n">
        <x:v>2</x:v>
      </x:c>
      <x:c r="M20" s="111"/>
      <x:c r="N20" s="111"/>
      <x:c r="O20" s="111"/>
    </x:row>
    <x:row r="21">
      <x:c r="A21" s="111"/>
      <x:c r="B21" s="113" t="inlineStr">
        <x:is>
          <x:t xml:space="preserve">Recall, Track A (/17)</x:t>
        </x:is>
      </x:c>
      <x:c r="C21" s="121" t="n">
        <x:f>COUNTIFS(C2:C18,"&lt;&gt;—")</x:f>
        <x:v>17</x:v>
      </x:c>
      <x:c r="D21" s="121" t="n">
        <x:f>COUNTIFS(D2:D18,"&lt;&gt;—")</x:f>
        <x:v>17</x:v>
      </x:c>
      <x:c r="E21" s="121" t="n">
        <x:f>COUNTIFS(E2:E18,"&lt;&gt;—")</x:f>
        <x:v>17</x:v>
      </x:c>
      <x:c r="F21" s="121" t="n">
        <x:f>COUNTIFS(F2:F18,"&lt;&gt;—")</x:f>
        <x:v>17</x:v>
      </x:c>
      <x:c r="G21" s="121" t="n">
        <x:f>COUNTIFS(G2:G18,"&lt;&gt;—")</x:f>
        <x:v>17</x:v>
      </x:c>
      <x:c r="H21" s="121" t="n">
        <x:f>COUNTIFS(H2:H18,"&lt;&gt;—")</x:f>
        <x:v>17</x:v>
      </x:c>
      <x:c r="I21" s="121" t="n">
        <x:f>COUNTIFS(I2:I18,"&lt;&gt;—")</x:f>
        <x:v>13</x:v>
      </x:c>
      <x:c r="J21" s="121" t="n">
        <x:f>COUNTIFS(J2:J18,"&lt;&gt;—")</x:f>
        <x:v>15</x:v>
      </x:c>
      <x:c r="K21" s="121" t="n">
        <x:f>COUNTIFS(K2:K18,"&lt;&gt;—")</x:f>
        <x:v>14</x:v>
      </x:c>
      <x:c r="L21" s="111"/>
      <x:c r="M21" s="111"/>
      <x:c r="N21" s="111"/>
      <x:c r="O21" s="111"/>
    </x:row>
    <x:row r="22">
      <x:c r="A22" s="111"/>
      <x:c r="B22" s="113" t="inlineStr">
        <x:is>
          <x:t xml:space="preserve">Recall %</x:t>
        </x:is>
      </x:c>
      <x:c r="C22" s="122" t="n">
        <x:f>C21/17</x:f>
        <x:v>1</x:v>
      </x:c>
      <x:c r="D22" s="122" t="n">
        <x:f>D21/17</x:f>
        <x:v>1</x:v>
      </x:c>
      <x:c r="E22" s="122" t="n">
        <x:f>E21/17</x:f>
        <x:v>1</x:v>
      </x:c>
      <x:c r="F22" s="122" t="n">
        <x:f>F21/17</x:f>
        <x:v>1</x:v>
      </x:c>
      <x:c r="G22" s="122" t="n">
        <x:f>G21/17</x:f>
        <x:v>1</x:v>
      </x:c>
      <x:c r="H22" s="122" t="n">
        <x:f>H21/17</x:f>
        <x:v>1</x:v>
      </x:c>
      <x:c r="I22" s="122" t="n">
        <x:f>I21/17</x:f>
        <x:v>0.7647058823529411</x:v>
      </x:c>
      <x:c r="J22" s="122" t="n">
        <x:f>J21/17</x:f>
        <x:v>0.8823529411764706</x:v>
      </x:c>
      <x:c r="K22" s="122" t="n">
        <x:f>K21/17</x:f>
        <x:v>0.8235294117647058</x:v>
      </x:c>
      <x:c r="L22" s="111"/>
      <x:c r="M22" s="111"/>
      <x:c r="N22" s="111"/>
      <x:c r="O22" s="111"/>
    </x:row>
    <x:row r="23">
      <x:c r="A23" s="111"/>
      <x:c r="B23" s="111"/>
      <x:c r="C23" s="111"/>
      <x:c r="D23" s="111"/>
      <x:c r="E23" s="111"/>
      <x:c r="F23" s="111"/>
      <x:c r="G23" s="111"/>
      <x:c r="H23" s="111"/>
      <x:c r="I23" s="111"/>
      <x:c r="J23" s="111"/>
      <x:c r="K23" s="111"/>
      <x:c r="L23" s="111"/>
      <x:c r="M23" s="111"/>
      <x:c r="N23" s="111"/>
      <x:c r="O23" s="111"/>
    </x:row>
    <x:row r="24">
      <x:c r="A24" s="111"/>
      <x:c r="B24" s="111"/>
      <x:c r="C24" s="111"/>
      <x:c r="D24" s="111"/>
      <x:c r="E24" s="111"/>
      <x:c r="F24" s="111"/>
      <x:c r="G24" s="111"/>
      <x:c r="H24" s="111"/>
      <x:c r="I24" s="111"/>
      <x:c r="J24" s="111"/>
      <x:c r="K24" s="111"/>
      <x:c r="L24" s="111"/>
      <x:c r="M24" s="111"/>
      <x:c r="N24" s="111"/>
      <x:c r="O24" s="111"/>
    </x:row>
    <x:row r="25" ht="45" customHeight="1">
      <x:c r="A25" s="82" t="str">
        <x:v>Cells show inspected representative examples rather than exhaustive variable lists. Source mapping contains the input matrix; Mapping review records timing, roles and source locators. Row 8 concerns construct discovery before causal-role adjudication.</x:v>
      </x:c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9"/>
      <x:c r="N25" s="89"/>
      <x:c r="O25" s="89"/>
    </x:row>
  </x:sheetData>
  <x:mergeCells>
    <x:mergeCell ref="A25:L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 ht="60" customHeight="1">
      <x:c r="A1" s="124" t="str">
        <x:v>LLM construct recall: methods and evidence</x:v>
      </x:c>
    </x:row>
    <x:row r="2" ht="60" customHeight="1">
      <x:c r="A2" s="82" t="str">
        <x:v>Rows 2–18 represent the 17 Track A candidate constructs before causal-role adjudication. The additional candidates in rows 19–20 are outside the recall denominator.</x:v>
      </x:c>
    </x:row>
    <x:row r="3" ht="60" customHeight="1">
      <x:c r="A3" s="82" t="str">
        <x:v>Columns = model × prompting strategy, A/B/C; ASD and ADHD outputs are pooled within each combination. This gives 9 recall columns from 18 raw calls.</x:v>
      </x:c>
    </x:row>
    <x:row r="4" ht="60" customHeight="1">
      <x:c r="A4" s="82" t="str">
        <x:v>Evidence cells show one qualifying example (two for H9), not an exhaustive list. The input matrix is provided in Source mapping.</x:v>
      </x:c>
    </x:row>
    <x:row r="5" ht="60" customHeight="1">
      <x:c r="A5" s="82" t="str">
        <x:v>Pregnancy and obstetric complications form a timing-dependent discovery construct. A generated current-pregnancy complication counts as concept recall regardless of its generated role, without confounder eligibility credit.</x:v>
      </x:c>
    </x:row>
    <x:row r="6" ht="60" customHeight="1">
      <x:c r="A6" s="82" t="str">
        <x:v>Other reviewed constructs require a matching maternal/family concept with pre-exposure candidate timing consistent with the variable name. Child antibiotics, fetal oxidative stress, postpartum symptoms and gestational age do not substitute for unrelated maternal constructs.</x:v>
      </x:c>
    </x:row>
    <x:row r="7" ht="60" customHeight="1">
      <x:c r="A7" s="82" t="str">
        <x:v>F3 matches maternal history of ADHD (DeepSeekV4-A ADHD variable 14). J12 does not match: sleep disturbance is not demographic or regional context.</x:v>
      </x:c>
    </x:row>
    <x:row r="8" ht="60" customHeight="1">
      <x:c r="A8" s="82" t="str">
        <x:v>H9 excludes childhood antibiotic entries; qualifying maternal examples are maternal_antidepressant_use and maternal_other_medication_use (DeepSeekV4-C ADHD variables 18 and 19).</x:v>
      </x:c>
    </x:row>
    <x:row r="9" ht="60" customHeight="1">
      <x:c r="A9" s="82" t="str">
        <x:v>Mapping review records all 153 decisions with source paths and zero-based variable indices. Author-review cells are blank; these mappings have not undergone independent human review.</x:v>
      </x:c>
    </x:row>
    <x:row r="10" ht="60" customHeight="1">
      <x:c r="A10" s="82" t="str">
        <x:v>Recall summary and matrix totals are formula-linked. The 17/17 ensemble and 15/17 three-model counts assess construct discovery, not DAG edges or study ratings.</x:v>
      </x:c>
    </x:row>
    <x:row r="11" ht="60" customHeight="1">
      <x:c r="A11" s="82" t="inlineStr">
        <x:is>
          <x:t>Verbatim candidate outputs are retained separately in the original-language research archive. Mapping review preserves source identifiers and variable indices.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50" hidden="0" customWidth="1"/>
    <x:col min="4" max="4" width="50" hidden="0" customWidth="1"/>
    <x:col min="5" max="5" width="50" hidden="0" customWidth="1"/>
    <x:col min="6" max="6" width="50" hidden="0" customWidth="1"/>
    <x:col min="7" max="7" width="50" hidden="0" customWidth="1"/>
    <x:col min="8" max="8" width="50" hidden="0" customWidth="1"/>
    <x:col min="9" max="9" width="50" hidden="0" customWidth="1"/>
    <x:col min="10" max="10" width="50" hidden="0" customWidth="1"/>
    <x:col min="11" max="11" width="50" hidden="0" customWidth="1"/>
    <x:col min="12" max="12" width="12" hidden="0" customWidth="1"/>
  </x:cols>
  <x:sheetData>
    <x:row r="1" ht="26.399999618530273" customHeight="1">
      <x:c r="A1" s="97" t="inlineStr">
        <x:is>
          <x:t xml:space="preserve">Domain</x:t>
        </x:is>
      </x:c>
      <x:c r="B1" s="97" t="inlineStr">
        <x:is>
          <x:t xml:space="preserve">Construct</x:t>
        </x:is>
      </x:c>
      <x:c r="C1" s="97" t="inlineStr">
        <x:is>
          <x:t xml:space="preserve">GPT5.5-A</x:t>
        </x:is>
      </x:c>
      <x:c r="D1" s="97" t="inlineStr">
        <x:is>
          <x:t xml:space="preserve">GPT5.5-B</x:t>
        </x:is>
      </x:c>
      <x:c r="E1" s="97" t="inlineStr">
        <x:is>
          <x:t xml:space="preserve">GPT5.5-C</x:t>
        </x:is>
      </x:c>
      <x:c r="F1" s="97" t="inlineStr">
        <x:is>
          <x:t xml:space="preserve">DeepSeekV4-A</x:t>
        </x:is>
      </x:c>
      <x:c r="G1" s="97" t="inlineStr">
        <x:is>
          <x:t xml:space="preserve">DeepSeekV4-B</x:t>
        </x:is>
      </x:c>
      <x:c r="H1" s="97" t="inlineStr">
        <x:is>
          <x:t xml:space="preserve">DeepSeekV4-C</x:t>
        </x:is>
      </x:c>
      <x:c r="I1" s="97" t="inlineStr">
        <x:is>
          <x:t xml:space="preserve">Gemini3.1-A</x:t>
        </x:is>
      </x:c>
      <x:c r="J1" s="97" t="inlineStr">
        <x:is>
          <x:t xml:space="preserve">Gemini3.1-B</x:t>
        </x:is>
      </x:c>
      <x:c r="K1" s="97" t="inlineStr">
        <x:is>
          <x:t xml:space="preserve">Gemini3.1-C</x:t>
        </x:is>
      </x:c>
      <x:c r="L1" s="97" t="inlineStr">
        <x:is>
          <x:t xml:space="preserve">Models recovering (of 3)</x:t>
        </x:is>
      </x:c>
    </x:row>
    <x:row r="2" ht="210" customHeight="1">
      <x:c r="A2" s="109" t="inlineStr">
        <x:is>
          <x:t xml:space="preserve">B1</x:t>
        </x:is>
      </x:c>
      <x:c r="B2" s="109" t="inlineStr">
        <x:is>
          <x:t xml:space="preserve">Shared familial/genetic background</x:t>
        </x:is>
      </x:c>
      <x:c r="C2" s="109" t="inlineStr">
        <x:is>
          <x:t xml:space="preserve">family history of ADHD; family history of attention-deficit/hyperactivity disorder; family history of autism spectrum disorder; family history of intellectual disability; family history of language delay or developmental delay; family history of learning disability; maternal genetic liability to autism spectrum disorder; maternal polygenic liability for risk-taking or impulsivity; parental polygenic liability for ADHD; paternal genetic liability to autism spectrum disorder; paternal polygenic liability for risk-taking or impulsivity; sibling ADHD diagnosis before the index pregnancy; sibling history of autism spectrum disorder</x:t>
        </x:is>
      </x:c>
      <x:c r="D2" s="109" t="inlineStr">
        <x:is>
          <x:t xml:space="preserve">family history of ADHD; family history of autism spectrum disorder; family history of intellectual disability; family history of language disorder; maternal pain sensitivity genetic liability; offspring inherited ADHD polygenic risk score; sibling ADHD history before the index exposure; sibling history of autism spectrum disorder</x:t>
        </x:is>
      </x:c>
      <x:c r="E2" s="109" t="inlineStr">
        <x:is>
          <x:t xml:space="preserve">family history of ADHD; family history of ASD in first-degree relatives; family history of epilepsy; family history of intellectual disability; maternal family history of ADHD; maternal polygenic liability for ADHD; parental consanguinity; paternal family history of ADHD; paternal polygenic liability for ADHD; polygenic liability to ASD in parents or child; sibling history of ASD or other neurodevelopmental disorder</x:t>
        </x:is>
      </x:c>
      <x:c r="F2" s="109" t="inlineStr">
        <x:is>
          <x:t xml:space="preserve">Family history of autism spectrum disorder; Family history of autoimmune diseases; Family history of psychiatric disorders; Maternal polygenic risk score for autism; Paternal polygenic risk score for autism; family history of ADHD (siblings or relatives)</x:t>
        </x:is>
      </x:c>
      <x:c r="G2" s="109" t="inlineStr">
        <x:is>
          <x:t xml:space="preserve">Family history of ADHD; Family history of ASD; Family history of autoimmune disease; Family history of neurodevelopmental disorders</x:t>
        </x:is>
      </x:c>
      <x:c r="H2" s="109" t="inlineStr">
        <x:is>
          <x:t xml:space="preserve">Family history of attention-deficit/hyperactivity disorder; Family history of autism spectrum disorder</x:t>
        </x:is>
      </x:c>
      <x:c r="I2" s="109" t="inlineStr">
        <x:is>
          <x:t xml:space="preserve">family history of ASD</x:t>
        </x:is>
      </x:c>
      <x:c r="J2" s="109" t="inlineStr">
        <x:is>
          <x:t xml:space="preserve">Family history of ADHD or other neurodevelopmental disorders; Family history of ASD</x:t>
        </x:is>
      </x:c>
      <x:c r="K2" s="109" t="inlineStr">
        <x:is>
          <x:t xml:space="preserve">Family history of ASD or neurodevelopmental disorders</x:t>
        </x:is>
      </x:c>
      <x:c r="L2" s="127" t="n">
        <x:v>3</x:v>
      </x:c>
    </x:row>
    <x:row r="3" ht="112" customHeight="1">
      <x:c r="A3" s="109" t="inlineStr">
        <x:is>
          <x:t xml:space="preserve">B1</x:t>
        </x:is>
      </x:c>
      <x:c r="B3" s="109" t="inlineStr">
        <x:is>
          <x:t xml:space="preserve">Maternal neurodevelopmental liability</x:t>
        </x:is>
      </x:c>
      <x:c r="C3" s="109" t="inlineStr">
        <x:is>
          <x:t xml:space="preserve">maternal ADHD diagnosis before pregnancy; maternal ADHD symptoms before pregnancy; maternal autistic traits</x:t>
        </x:is>
      </x:c>
      <x:c r="D3" s="109" t="inlineStr">
        <x:is>
          <x:t xml:space="preserve">maternal ADHD; maternal ADHD history; maternal autistic traits; maternal cognitive ability or IQ</x:t>
        </x:is>
      </x:c>
      <x:c r="E3" s="109" t="inlineStr">
        <x:is>
          <x:t xml:space="preserve">maternal ADHD before pregnancy; maternal ADHD diagnosis or symptoms before pregnancy; maternal autism spectrum traits or diagnosis; maternal autistic traits or autism diagnosis; maternal cognitive ability or educational performance history; maternal intellectual disability or learning disability</x:t>
        </x:is>
      </x:c>
      <x:c r="F3" s="109" t="inlineStr">
        <x:is>
          <x:t xml:space="preserve">—</x:t>
        </x:is>
      </x:c>
      <x:c r="G3" s="109" t="inlineStr">
        <x:is>
          <x:t xml:space="preserve">Maternal ADHD diagnosis or symptoms</x:t>
        </x:is>
      </x:c>
      <x:c r="H3" s="109" t="inlineStr">
        <x:is>
          <x:t xml:space="preserve">Maternal cognitive ability</x:t>
        </x:is>
      </x:c>
      <x:c r="I3" s="109" t="inlineStr">
        <x:is>
          <x:t xml:space="preserve">Maternal ADHD diagnosis or symptoms</x:t>
        </x:is>
      </x:c>
      <x:c r="J3" s="109" t="inlineStr">
        <x:is>
          <x:t xml:space="preserve">Maternal ADHD</x:t>
        </x:is>
      </x:c>
      <x:c r="K3" s="109" t="inlineStr">
        <x:is>
          <x:t xml:space="preserve">Maternal ADHD</x:t>
        </x:is>
      </x:c>
      <x:c r="L3" s="127" t="n">
        <x:v>3</x:v>
      </x:c>
    </x:row>
    <x:row r="4" ht="140" customHeight="1">
      <x:c r="A4" s="109" t="inlineStr">
        <x:is>
          <x:t xml:space="preserve">B1</x:t>
        </x:is>
      </x:c>
      <x:c r="B4" s="109" t="inlineStr">
        <x:is>
          <x:t xml:space="preserve">Maternal psychiatric vulnerability</x:t>
        </x:is>
      </x:c>
      <x:c r="C4" s="109" t="inlineStr">
        <x:is>
          <x:t xml:space="preserve">maternal anxiety disorder before first paracetamol use in pregnancy; maternal anxiety disorder before pregnancy; maternal bipolar disorder before first paracetamol use in pregnancy; maternal bipolar disorder before pregnancy; maternal depression before first paracetamol use in pregnancy; maternal depression before pregnancy</x:t>
        </x:is>
      </x:c>
      <x:c r="D4" s="109" t="inlineStr">
        <x:is>
          <x:t xml:space="preserve">maternal anxiety disorder before pregnancy; maternal anxiety disorder history before pregnancy; maternal bipolar disorder; maternal bipolar disorder history; maternal depression before pregnancy; maternal depression history before pregnancy</x:t>
        </x:is>
      </x:c>
      <x:c r="E4" s="109" t="inlineStr">
        <x:is>
          <x:t xml:space="preserve">maternal anxiety disorder before or early in pregnancy; maternal anxiety disorder before pregnancy; maternal bipolar disorder; maternal bipolar disorder before pregnancy; maternal depression before or early in pregnancy; maternal depression before pregnancy; maternal mood stabilizer use before paracetamol use; maternal psychosocial stress before or during early pregnancy before paracetamol use</x:t>
        </x:is>
      </x:c>
      <x:c r="F4" s="109" t="inlineStr">
        <x:is>
          <x:t xml:space="preserve">Maternal anxiety before or during pregnancy; Maternal depression before or during pregnancy</x:t>
        </x:is>
      </x:c>
      <x:c r="G4" s="109" t="inlineStr">
        <x:is>
          <x:t xml:space="preserve">Maternal depression/anxiety during pregnancy; Postpartum maternal anxiety; Postpartum maternal depression</x:t>
        </x:is>
      </x:c>
      <x:c r="H4" s="109" t="inlineStr">
        <x:is>
          <x:t xml:space="preserve">Maternal anxiety history; Maternal depression history</x:t>
        </x:is>
      </x:c>
      <x:c r="I4" s="109" t="inlineStr">
        <x:is>
          <x:t xml:space="preserve">Maternal psychosocial stress during pregnancy; maternal psychiatric history</x:t>
        </x:is>
      </x:c>
      <x:c r="J4" s="109" t="inlineStr">
        <x:is>
          <x:t xml:space="preserve">Maternal psychiatric disorders (e.g., depression, anxiety); Maternal psychiatric history</x:t>
        </x:is>
      </x:c>
      <x:c r="K4" s="109" t="inlineStr">
        <x:is>
          <x:t xml:space="preserve">Maternal psychiatric history (e.g., depression, anxiety)</x:t>
        </x:is>
      </x:c>
      <x:c r="L4" s="127" t="n">
        <x:v>3</x:v>
      </x:c>
    </x:row>
    <x:row r="5" ht="350" customHeight="1">
      <x:c r="A5" s="109" t="inlineStr">
        <x:is>
          <x:t xml:space="preserve">B2</x:t>
        </x:is>
      </x:c>
      <x:c r="B5" s="109" t="inlineStr">
        <x:is>
          <x:t xml:space="preserve">Acute infection/fever indication</x:t>
        </x:is>
      </x:c>
      <x:c r="C5" s="109" t="inlineStr">
        <x:is>
          <x:t xml:space="preserve">infant recurrent infections before ASD diagnosis; maternal dental infection before first paracetamol use in pregnancy; maternal dental pain or dental infection before pregnancy; maternal fever before first acetaminophen use in pregnancy; maternal fever before first paracetamol use in pregnancy; maternal gastrointestinal infection before first paracetamol use in pregnancy; maternal influenza vaccination before first acetaminophen use in pregnancy; maternal influenza vaccination status before first paracetamol use in pregnancy; maternal influenza-like illness before first acetaminophen use in pregnancy; maternal influenza-like illness before first paracetamol use in pregnancy; maternal preference for medication treatment of fever or pain before pregnancy; maternal respiratory infection before first acetaminophen use in pregnancy; maternal respiratory infection before first paracetamol use in pregnancy; maternal sexually transmitted infection before pregnancy; maternal urinary tract infection before first acetaminophen use in pregnancy; maternal urinary tract infection before first paracetamol use in pregnancy</x:t>
        </x:is>
      </x:c>
      <x:c r="D5" s="109" t="inlineStr">
        <x:is>
          <x:t xml:space="preserve">household infection exposure before paracetamol use; influenza vaccination before paracetamol use; maternal dental pain or dental infection before paracetamol initiation; maternal dental pain or dental infection before paracetamol use; maternal fever before paracetamol initiation; maternal fever before paracetamol use; maternal fever susceptibility; maternal gastrointestinal infection before paracetamol initiation; maternal gastrointestinal infection before paracetamol use; maternal influenza-like illness before paracetamol initiation; maternal influenza-like illness before paracetamol use; maternal respiratory infection before paracetamol use; maternal upper respiratory infection before paracetamol initiation; maternal urinary tract infection before paracetamol initiation; maternal urinary tract infection before paracetamol use; maternal workplace infection exposure before paracetamol use; neonatal sepsis or serious infection; regional influenza activity at pregnancy onset</x:t>
        </x:is>
      </x:c>
      <x:c r="E5" s="109" t="inlineStr">
        <x:is>
          <x:t xml:space="preserve">SARS-CoV-2 infection during pregnancy before paracetamol use; antiviral use before paracetamol use in pregnancy; dental infection during pregnancy before paracetamol use; gastrointestinal infection during pregnancy before paracetamol use; laboratory-confirmed influenza during pregnancy before paracetamol use; malaria or other systemic parasitic infection during pregnancy before paracetamol use; maternal dental pain or oral infection before paracetamol use; maternal fever before paracetamol use; maternal fever before paracetamol use in pregnancy; maternal gastrointestinal infection before paracetamol use; maternal influenza or influenza-like illness before paracetamol use; maternal respiratory infection before paracetamol use; maternal sexually transmitted infection before paracetamol use; maternal urinary tract infection before paracetamol use; neonatal sepsis or severe neonatal infection; recurrent childhood infections before ADHD diagnosis; sexually transmitted infection during pregnancy before paracetamol use; upper respiratory tract infection during pregnancy before paracetamol use; urinary tract infection during pregnancy before paracetamol use</x:t>
        </x:is>
      </x:c>
      <x:c r="F5" s="109" t="inlineStr">
        <x:is>
          <x:t xml:space="preserve">Maternal fever during pregnancy before paracetamol use; Maternal infection during pregnancy before paracetamol use; Number of ear infections in first two years; Water disinfection by-products exposure during pregnancy; child's early childhood infections (number of infections); fever during pregnancy (indication for paracetamol); infection during pregnancy (e.g., influenza, UTI)</x:t>
        </x:is>
      </x:c>
      <x:c r="G5" s="109" t="inlineStr">
        <x:is>
          <x:t xml:space="preserve">Child early life infections (first year); Child's early life infections; Maternal fever during pregnancy; Maternal fever/infection prompting paracetamol use; Maternal infection during pregnancy; Maternal infection history (recurrent infections, chronic inflammation)</x:t>
        </x:is>
      </x:c>
      <x:c r="H5" s="109" t="inlineStr">
        <x:is>
          <x:t xml:space="preserve">Child infections in first year of life; Maternal infection with fever in early pregnancy; maternal_infection_during_pregnancy; number_childhood_infections</x:t>
        </x:is>
      </x:c>
      <x:c r="I5" s="109" t="inlineStr">
        <x:is>
          <x:t xml:space="preserve">Maternal acute infection or fever during pregnancy; maternal fever during pregnancy; maternal infections during pregnancy</x:t>
        </x:is>
      </x:c>
      <x:c r="J5" s="109" t="inlineStr">
        <x:is>
          <x:t xml:space="preserve">Maternal fever during pregnancy; Maternal infections during pregnancy</x:t>
        </x:is>
      </x:c>
      <x:c r="K5" s="109" t="inlineStr">
        <x:is>
          <x:t xml:space="preserve">Maternal fever during pregnancy; Maternal infections during pregnancy</x:t>
        </x:is>
      </x:c>
      <x:c r="L5" s="127" t="n">
        <x:v>3</x:v>
      </x:c>
    </x:row>
    <x:row r="6" ht="280" customHeight="1">
      <x:c r="A6" s="109" t="inlineStr">
        <x:is>
          <x:t xml:space="preserve">B2</x:t>
        </x:is>
      </x:c>
      <x:c r="B6" s="109" t="inlineStr">
        <x:is>
          <x:t xml:space="preserve">Pain/headache/migraine indication</x:t>
        </x:is>
      </x:c>
      <x:c r="C6" s="109" t="inlineStr">
        <x:is>
          <x:t xml:space="preserve">maternal chronic back pain before first paracetamol use in pregnancy; maternal chronic headache disorder before first paracetamol use in pregnancy; maternal chronic pain syndrome before pregnancy; maternal dental pain or dental infection before pregnancy; maternal migraine before pregnancy; maternal migraine disorder before first paracetamol use in pregnancy; maternal musculoskeletal back pain before pregnancy; maternal preference for medication treatment of fever or pain before pregnancy; maternal recurrent headache before pregnancy</x:t>
        </x:is>
      </x:c>
      <x:c r="D6" s="109" t="inlineStr">
        <x:is>
          <x:t xml:space="preserve">maternal back pain before paracetamol initiation; maternal chronic pain disorder; maternal chronic pain syndrome before pregnancy; maternal dental pain or dental infection before paracetamol initiation; maternal dental pain or dental infection before paracetamol use; maternal migraine disorder; maternal migraine history; maternal musculoskeletal disorder before pregnancy; maternal pain sensitivity genetic liability; maternal pain-sensitivity genetic variants; maternal pelvic girdle pain before paracetamol initiation; maternal recurrent headache disorder; maternal recurrent headache history</x:t>
        </x:is>
      </x:c>
      <x:c r="E6" s="109" t="inlineStr">
        <x:is>
          <x:t xml:space="preserve">back pain before paracetamol use in pregnancy; dental pain before paracetamol use; fibromyalgia or chronic widespread pain before pregnancy; maternal chronic back pain before or early in pregnancy; maternal chronic headache disorder; maternal chronic pelvic pain before or early in pregnancy; maternal dental pain or oral infection before paracetamol use; maternal genetic variants affecting pain sensitivity; maternal injury or musculoskeletal trauma before paracetamol use; maternal migraine history; maternal sickle cell disease or recurrent pain condition; migraine disorder before pregnancy or before paracetamol use; pelvic girdle pain before paracetamol use; recurrent tension-type headache before paracetamol use; renal colic or kidney stone pain before paracetamol use; sickle cell pain crises before or during pregnancy before paracetamol use; threatened miscarriage with pain before paracetamol use</x:t>
        </x:is>
      </x:c>
      <x:c r="F6" s="109" t="inlineStr">
        <x:is>
          <x:t xml:space="preserve">Maternal back pain or pelvic girdle pain; Maternal migraine or chronic headache; pain condition during pregnancy (e.g., migraine, back pain)</x:t>
        </x:is>
      </x:c>
      <x:c r="G6" s="109" t="inlineStr">
        <x:is>
          <x:t xml:space="preserve">Maternal chronic pain condition; Maternal chronic pain conditions (migraine, fibromyalgia); Maternal migraine/headache disorder</x:t>
        </x:is>
      </x:c>
      <x:c r="H6" s="109" t="inlineStr">
        <x:is>
          <x:t xml:space="preserve">Maternal chronic pain condition (e.g., migraine); maternal_migraine</x:t>
        </x:is>
      </x:c>
      <x:c r="I6" s="109" t="inlineStr">
        <x:is>
          <x:t xml:space="preserve">Maternal chronic pain conditions (e.g., migraines, back pain); maternal chronic pain conditions</x:t>
        </x:is>
      </x:c>
      <x:c r="J6" s="109" t="inlineStr">
        <x:is>
          <x:t xml:space="preserve">Maternal chronic pain conditions; Maternal pain conditions (e.g., migraine, musculoskeletal pain)</x:t>
        </x:is>
      </x:c>
      <x:c r="K6" s="109" t="inlineStr">
        <x:is>
          <x:t xml:space="preserve">Maternal chronic pain conditions; Maternal migraine or severe headache; Maternal pain conditions (e.g., migraine, musculoskeletal)</x:t>
        </x:is>
      </x:c>
      <x:c r="L6" s="127" t="n">
        <x:v>3</x:v>
      </x:c>
    </x:row>
    <x:row r="7" ht="378" customHeight="1">
      <x:c r="A7" s="109" t="inlineStr">
        <x:is>
          <x:t xml:space="preserve">B2</x:t>
        </x:is>
      </x:c>
      <x:c r="B7" s="109" t="inlineStr">
        <x:is>
          <x:t xml:space="preserve">Chronic maternal medical conditions</x:t>
        </x:is>
      </x:c>
      <x:c r="C7" s="109" t="inlineStr">
        <x:is>
          <x:t xml:space="preserve">altered fetal thyroid hormone signaling; altered maternal thyroid hormone levels after acetaminophen use; fetal thyroid hormone level after paracetamol use; gestational diabetes diagnosed after paracetamol use; gestational diabetes diagnosed before first paracetamol use in pregnancy; maternal arthritis before first paracetamol use in pregnancy; maternal arthritis before pregnancy; maternal asthma before first paracetamol use in pregnancy; maternal asthma before pregnancy; maternal asthma medication use before first acetaminophen use in pregnancy; maternal asthma medication use before first paracetamol use in pregnancy; maternal autoimmune disease before first paracetamol use in pregnancy; maternal autoimmune disease before pregnancy; maternal diabetes before pregnancy; maternal epilepsy before first paracetamol use in pregnancy; maternal epilepsy before pregnancy; maternal pre-existing diabetes mellitus; maternal pre-existing hypertension; maternal thyroid disease before first paracetamol use in pregnancy; maternal thyroid disease before pregnancy; maternal thyroid hormone level after paracetamol use; maternal thyroid medication use before first acetaminophen use in pregnancy; maternal thyroid medication use before first paracetamol use in pregnancy</x:t>
        </x:is>
      </x:c>
      <x:c r="D7" s="109" t="inlineStr">
        <x:is>
          <x:t xml:space="preserve">altered fetal thyroid hormone exposure; altered maternal thyroid hormone levels after paracetamol use; asthma medication use before paracetamol initiation; cord blood thyroid hormone concentration; gestational diabetes arising after exposure; gestational diabetes diagnosed after paracetamol use; maternal arthritis or rheumatic disease before pregnancy; maternal asthma; maternal asthma before pregnancy; maternal autoimmune disease; maternal autoimmune disease before pregnancy; maternal epilepsy; maternal epilepsy before pregnancy; maternal pregestational diabetes; maternal rheumatoid arthritis; maternal systemic lupus erythematosus; maternal thyroid disease; maternal thyroid disease before pregnancy; maternal thyroid hormone concentration after exposure; pre-existing diabetes mellitus; pre-existing hypertension; thyroid medication use before paracetamol initiation</x:t>
        </x:is>
      </x:c>
      <x:c r="E7" s="109" t="inlineStr">
        <x:is>
          <x:t xml:space="preserve">altered fetal thyroid hormone availability; arthritis or inflammatory joint disease before pregnancy; childhood asthma or recurrent wheeze before ADHD diagnosis; disrupted fetal thyroid hormone signaling; disrupted maternal thyroid hormone levels after paracetamol use; family history of epilepsy; gestational diabetes after paracetamol use; gestational diabetes occurring after paracetamol use; maternal arthritis or chronic joint disease; maternal asthma before pregnancy; maternal asthma medication use before paracetamol use; maternal autoimmune disease; maternal autoimmune disease before pregnancy; maternal epilepsy before pregnancy; maternal epilepsy or seizure disorder; maternal thyroid disease before pregnancy; pre-existing diabetes mellitus; pre-existing hypertension; pregestational diabetes</x:t>
        </x:is>
      </x:c>
      <x:c r="F7" s="109" t="inlineStr">
        <x:is>
          <x:t xml:space="preserve">Child epilepsy diagnosis; Family history of autoimmune diseases; Gestational diabetes (current pregnancy); Maternal autoimmune disease; Maternal pre-pregnancy diabetes mellitus; Maternal thyroid disorder; gestational diabetes; maternal pre-pregnancy diabetes; maternal pre-pregnancy thyroid disorder</x:t>
        </x:is>
      </x:c>
      <x:c r="G7" s="109" t="inlineStr">
        <x:is>
          <x:t xml:space="preserve">Family history of autoimmune disease; Gestational diabetes; Maternal autoimmune disease; Maternal autoimmune disease (e.g., rheumatoid arthritis, lupus); Maternal epilepsy; Maternal thyroid disease</x:t>
        </x:is>
      </x:c>
      <x:c r="H7" s="109" t="inlineStr">
        <x:is>
          <x:t xml:space="preserve">Child atopic disease (asthma/eczema) by age 2; Maternal autoimmune disease history; Maternal thyroid disorder history; maternal_asthma; maternal_autoimmune_disease; maternal_epilepsy</x:t>
        </x:is>
      </x:c>
      <x:c r="I7" s="109" t="inlineStr">
        <x:is>
          <x:t xml:space="preserve">maternal autoimmune diseases</x:t>
        </x:is>
      </x:c>
      <x:c r="J7" s="109" t="inlineStr">
        <x:is>
          <x:t xml:space="preserve">Gestational diabetes; Maternal asthma; Maternal autoimmune diseases</x:t>
        </x:is>
      </x:c>
      <x:c r="K7" s="109" t="inlineStr">
        <x:is>
          <x:t xml:space="preserve">Maternal asthma; Maternal autoimmune diseases</x:t>
        </x:is>
      </x:c>
      <x:c r="L7" s="127" t="n">
        <x:v>3</x:v>
      </x:c>
    </x:row>
    <x:row r="8" ht="126" customHeight="1">
      <x:c r="A8" s="109" t="inlineStr">
        <x:is>
          <x:t xml:space="preserve">B2</x:t>
        </x:is>
      </x:c>
      <x:c r="B8" s="109" t="inlineStr">
        <x:is>
          <x:t xml:space="preserve">Pregnancy/obstetric complications</x:t>
        </x:is>
      </x:c>
      <x:c r="C8" s="109" t="inlineStr">
        <x:is>
          <x:t xml:space="preserve">gestational diabetes diagnosed after paracetamol use; gestational diabetes diagnosed before first paracetamol use in pregnancy; gestational hypertension after paracetamol use; nausea or hyperemesis before first paracetamol use in pregnancy; preeclampsia after paracetamol use</x:t>
        </x:is>
      </x:c>
      <x:c r="D8" s="109" t="inlineStr">
        <x:is>
          <x:t xml:space="preserve">antepartum hemorrhage after paracetamol use; gestational diabetes arising after exposure; gestational diabetes diagnosed after paracetamol use; gestational hypertension after paracetamol use; gestational hypertension arising after exposure; maternal pregestational diabetes; preeclampsia after paracetamol use; preeclampsia arising after exposure</x:t>
        </x:is>
      </x:c>
      <x:c r="E8" s="109" t="inlineStr">
        <x:is>
          <x:t xml:space="preserve">gestational diabetes after paracetamol use; gestational diabetes occurring after paracetamol use; gestational hypertension after paracetamol use; hyperemesis gravidarum before paracetamol use; maternal hyperemesis or severe nausea before paracetamol use; preeclampsia after paracetamol use; pregestational diabetes</x:t>
        </x:is>
      </x:c>
      <x:c r="F8" s="109" t="inlineStr">
        <x:is>
          <x:t xml:space="preserve">Gestational diabetes (current pregnancy); Gestational hypertension or preeclampsia (current pregnancy); gestational diabetes; preeclampsia</x:t>
        </x:is>
      </x:c>
      <x:c r="G8" s="109" t="inlineStr">
        <x:is>
          <x:t xml:space="preserve">Gestational diabetes; Gestational hypertension; Preeclampsia</x:t>
        </x:is>
      </x:c>
      <x:c r="H8" s="109" t="inlineStr">
        <x:is>
          <x:t xml:space="preserve">preeclampsia</x:t>
        </x:is>
      </x:c>
      <x:c r="I8" s="109" t="inlineStr">
        <x:is>
          <x:t xml:space="preserve">—</x:t>
        </x:is>
      </x:c>
      <x:c r="J8" s="109" t="inlineStr">
        <x:is>
          <x:t xml:space="preserve">Gestational diabetes; Hypertensive disorders of pregnancy / Preeclampsia</x:t>
        </x:is>
      </x:c>
      <x:c r="K8" s="109" t="inlineStr">
        <x:is>
          <x:t xml:space="preserve">—</x:t>
        </x:is>
      </x:c>
      <x:c r="L8" s="127" t="n">
        <x:v>3</x:v>
      </x:c>
    </x:row>
    <x:row r="9" ht="98" customHeight="1">
      <x:c r="A9" s="109" t="inlineStr">
        <x:is>
          <x:t xml:space="preserve">B2</x:t>
        </x:is>
      </x:c>
      <x:c r="B9" s="109" t="inlineStr">
        <x:is>
          <x:t xml:space="preserve">Concomitant medication/treatment context</x:t>
        </x:is>
      </x:c>
      <x:c r="C9" s="109" t="inlineStr">
        <x:is>
          <x:t xml:space="preserve">maternal antibiotic use before first acetaminophen use in pregnancy; maternal antibiotic use before first paracetamol use in pregnancy; neonatal antibiotic exposure</x:t>
        </x:is>
      </x:c>
      <x:c r="D9" s="109" t="inlineStr">
        <x:is>
          <x:t xml:space="preserve">antibiotic use before paracetamol initiation; antibiotic use before paracetamol use; pre-pregnancy NSAID use</x:t>
        </x:is>
      </x:c>
      <x:c r="E9" s="109" t="inlineStr">
        <x:is>
          <x:t xml:space="preserve">antibiotic use before paracetamol use in pregnancy; contraindication to NSAIDs before pregnancy; maternal antibiotic use before paracetamol use; postnatal antibiotic exposure in infancy</x:t>
        </x:is>
      </x:c>
      <x:c r="F9" s="109" t="inlineStr">
        <x:is>
          <x:t xml:space="preserve">Antibiotic use in first two years; Maternal use of NSAIDs during pregnancy; antibiotic use during pregnancy; use of other analgesics (NSAIDs, opioids) during pregnancy</x:t>
        </x:is>
      </x:c>
      <x:c r="G9" s="109" t="inlineStr">
        <x:is>
          <x:t xml:space="preserve">Child antibiotic use in infancy; Child's antibiotic use in infancy; Maternal NSAID use during pregnancy; Maternal antibiotic use during pregnancy; Maternal pre-pregnancy medication use (antidepressants, antiepileptics, NSAIDs)</x:t>
        </x:is>
      </x:c>
      <x:c r="H9" s="109" t="inlineStr">
        <x:is>
          <x:t xml:space="preserve">Child antibiotic use in first year; child_early_antibiotic_use</x:t>
        </x:is>
      </x:c>
      <x:c r="I9" s="109" t="inlineStr">
        <x:is>
          <x:t xml:space="preserve">Maternal use of other medications (e.g., NSAIDs, antidepressants); concomitant medication use</x:t>
        </x:is>
      </x:c>
      <x:c r="J9" s="109" t="inlineStr">
        <x:is>
          <x:t xml:space="preserve">Concomitant use of other medications (e.g., NSAIDs, antidepressants)</x:t>
        </x:is>
      </x:c>
      <x:c r="K9" s="109" t="inlineStr">
        <x:is>
          <x:t xml:space="preserve">Concomitant maternal medication use (e.g., SSRIs, antibiotics); Concomitant use of other analgesics; Concomitant use of psychotropic medications</x:t>
        </x:is>
      </x:c>
      <x:c r="L9" s="127" t="n">
        <x:v>3</x:v>
      </x:c>
    </x:row>
    <x:row r="10" ht="70" customHeight="1">
      <x:c r="A10" s="109" t="inlineStr">
        <x:is>
          <x:t xml:space="preserve">B2</x:t>
        </x:is>
      </x:c>
      <x:c r="B10" s="109" t="inlineStr">
        <x:is>
          <x:t xml:space="preserve">Maternal metabolic/adiposity status</x:t>
        </x:is>
      </x:c>
      <x:c r="C10" s="109" t="inlineStr">
        <x:is>
          <x:t xml:space="preserve">maternal pre-pregnancy body mass index; maternal pre-pregnancy obesity</x:t>
        </x:is>
      </x:c>
      <x:c r="D10" s="109" t="inlineStr">
        <x:is>
          <x:t xml:space="preserve">maternal obesity before pregnancy; maternal pre-pregnancy body mass index</x:t>
        </x:is>
      </x:c>
      <x:c r="E10" s="109" t="inlineStr">
        <x:is>
          <x:t xml:space="preserve">maternal obesity before pregnancy; maternal obesity or pre-pregnancy body mass index; pre-pregnancy body mass index</x:t>
        </x:is>
      </x:c>
      <x:c r="F10" s="109" t="inlineStr">
        <x:is>
          <x:t xml:space="preserve">Maternal pre-pregnancy body mass index; maternal pre-pregnancy body mass index</x:t>
        </x:is>
      </x:c>
      <x:c r="G10" s="109" t="inlineStr">
        <x:is>
          <x:t xml:space="preserve">Maternal pre-pregnancy body mass index</x:t>
        </x:is>
      </x:c>
      <x:c r="H10" s="109" t="inlineStr">
        <x:is>
          <x:t xml:space="preserve">Maternal pre-pregnancy body mass index</x:t>
        </x:is>
      </x:c>
      <x:c r="I10" s="109" t="inlineStr">
        <x:is>
          <x:t xml:space="preserve">Maternal pre-pregnancy body mass index (BMI); maternal pre-pregnancy BMI</x:t>
        </x:is>
      </x:c>
      <x:c r="J10" s="109" t="inlineStr">
        <x:is>
          <x:t xml:space="preserve">Maternal pre-pregnancy BMI; Pre-pregnancy body mass index (BMI)</x:t>
        </x:is>
      </x:c>
      <x:c r="K10" s="109" t="inlineStr">
        <x:is>
          <x:t xml:space="preserve">Maternal BMI and obesity; Pre-pregnancy maternal BMI</x:t>
        </x:is>
      </x:c>
      <x:c r="L10" s="127" t="n">
        <x:v>3</x:v>
      </x:c>
    </x:row>
    <x:row r="11" ht="224" customHeight="1">
      <x:c r="A11" s="109" t="inlineStr">
        <x:is>
          <x:t xml:space="preserve">B3</x:t>
        </x:is>
      </x:c>
      <x:c r="B11" s="109" t="inlineStr">
        <x:is>
          <x:t xml:space="preserve">Socioeconomic position</x:t>
        </x:is>
      </x:c>
      <x:c r="C11" s="109" t="inlineStr">
        <x:is>
          <x:t xml:space="preserve">health insurance coverage before first paracetamol use in pregnancy; health insurance coverage before pregnancy; household income before pregnancy; maternal educational attainment; maternal educational attainment before pregnancy; maternal employment status before pregnancy; maternal occupational class before pregnancy; neighborhood deprivation before pregnancy; paternal educational attainment; paternal educational attainment before pregnancy; paternal employment status before pregnancy; school-based special education evaluation before diagnosis</x:t>
        </x:is>
      </x:c>
      <x:c r="D11" s="109" t="inlineStr">
        <x:is>
          <x:t xml:space="preserve">employment status during early pregnancy; enrollment in special education services after diagnosis; health insurance status; household income; household income before pregnancy; maternal education level; maternal educational attainment; maternal employment status before pregnancy; maternal health insurance status before pregnancy; neighborhood deprivation index; neighborhood deprivation index before pregnancy; paternal education level; paternal educational attainment; paternal employment status before pregnancy; special education placement after diagnosis</x:t>
        </x:is>
      </x:c>
      <x:c r="E11" s="109" t="inlineStr">
        <x:is>
          <x:t xml:space="preserve">health insurance coverage before pregnancy; household income before pregnancy; individualized education plan or special education placement; insurance enrollment after ASD diagnosis; maternal cognitive ability or educational performance history; maternal educational attainment; maternal employment status before pregnancy; maternal occupational class; neighborhood deprivation before pregnancy; neighborhood deprivation index; paternal cognitive ability or educational performance history; paternal educational attainment; paternal employment status before pregnancy; recording of ASD diagnosis in educational records; school-based psychoeducational evaluation; special education placement after diagnosis</x:t>
        </x:is>
      </x:c>
      <x:c r="F11" s="109" t="inlineStr">
        <x:is>
          <x:t xml:space="preserve">Health insurance status; Household income; Maternal education level; Neighborhood socioeconomic deprivation index; Paternal education level; household income; maternal education level; maternal pre-pregnancy healthcare access (insurance, regular checkups)</x:t>
        </x:is>
      </x:c>
      <x:c r="G11" s="109" t="inlineStr">
        <x:is>
          <x:t xml:space="preserve">Change in maternal employment status due to child's behavior; Health insurance type; Household income; Maternal education level; Paternal education; Special educational needs placement (IEP)</x:t>
        </x:is>
      </x:c>
      <x:c r="H11" s="109" t="inlineStr">
        <x:is>
          <x:t xml:space="preserve">Child enrollment in special education services; Household income; Maternal education level; healthcare_insurance; maternal_education; maternal_income; special_education_placement</x:t>
        </x:is>
      </x:c>
      <x:c r="I11" s="109" t="inlineStr">
        <x:is>
          <x:t xml:space="preserve">Household income; Inclusion in school-based special education registries; Maternal education level; household income; maternal education level</x:t>
        </x:is>
      </x:c>
      <x:c r="J11" s="109" t="inlineStr">
        <x:is>
          <x:t xml:space="preserve">Household income; Maternal education level; Neighborhood deprivation index; Paternal education level</x:t>
        </x:is>
      </x:c>
      <x:c r="K11" s="109" t="inlineStr">
        <x:is>
          <x:t xml:space="preserve">Healthcare access and insurance status; Household socioeconomic status; Maternal education level; Maternal socioeconomic status</x:t>
        </x:is>
      </x:c>
      <x:c r="L11" s="127" t="n">
        <x:v>3</x:v>
      </x:c>
    </x:row>
    <x:row r="12" ht="112" customHeight="1">
      <x:c r="A12" s="109" t="inlineStr">
        <x:is>
          <x:t xml:space="preserve">B3</x:t>
        </x:is>
      </x:c>
      <x:c r="B12" s="109" t="inlineStr">
        <x:is>
          <x:t xml:space="preserve">Demographic/regional context</x:t>
        </x:is>
      </x:c>
      <x:c r="C12" s="109" t="inlineStr">
        <x:is>
          <x:t xml:space="preserve">geographic region of residence at conception; maternal country of birth or nativity; maternal nativity or immigration status; maternal race or ethnicity; urban versus rural residence at conception</x:t>
        </x:is>
      </x:c>
      <x:c r="D12" s="109" t="inlineStr">
        <x:is>
          <x:t xml:space="preserve">maternal country of birth or immigration status; maternal race or ethnicity; nativity or immigration status; race or ethnicity; regional influenza activity at pregnancy onset; urban versus rural residence before pregnancy; urbanicity of residence</x:t>
        </x:is>
      </x:c>
      <x:c r="E12" s="109" t="inlineStr">
        <x:is>
          <x:t xml:space="preserve">geographic region or country of residence; maternal country of birth or immigration status; maternal country of birth or migration status; maternal race or ethnicity; maternal race or ethnicity as a proxy for social exposures; urban versus rural residence; urban versus rural residence before pregnancy</x:t>
        </x:is>
      </x:c>
      <x:c r="F12" s="109" t="inlineStr">
        <x:is>
          <x:t xml:space="preserve">Maternal race/ethnicity; maternal immigrant status; maternal race/ethnicity</x:t>
        </x:is>
      </x:c>
      <x:c r="G12" s="109" t="inlineStr">
        <x:is>
          <x:t xml:space="preserve">Country of birth or immigration status; Maternal race/ethnicity; Urban/rural residence</x:t>
        </x:is>
      </x:c>
      <x:c r="H12" s="109" t="inlineStr">
        <x:is>
          <x:t xml:space="preserve">maternal_ethnicity</x:t>
        </x:is>
      </x:c>
      <x:c r="I12" s="109" t="inlineStr">
        <x:is>
          <x:t xml:space="preserve">—</x:t>
        </x:is>
      </x:c>
      <x:c r="J12" s="109" t="inlineStr">
        <x:is>
          <x:t xml:space="preserve">Maternal sleep disturbances during pregnancy</x:t>
        </x:is>
      </x:c>
      <x:c r="K12" s="109" t="inlineStr">
        <x:is>
          <x:t xml:space="preserve">—</x:t>
        </x:is>
      </x:c>
      <x:c r="L12" s="127" t="n">
        <x:v>3</x:v>
      </x:c>
    </x:row>
    <x:row r="13" ht="84" customHeight="1">
      <x:c r="A13" s="109" t="inlineStr">
        <x:is>
          <x:t xml:space="preserve">B3</x:t>
        </x:is>
      </x:c>
      <x:c r="B13" s="109" t="inlineStr">
        <x:is>
          <x:t xml:space="preserve">Maternal demographic context</x:t>
        </x:is>
      </x:c>
      <x:c r="C13" s="109" t="inlineStr">
        <x:is>
          <x:t xml:space="preserve">gestational age at delivery; maternal age at conception; paternal age at conception</x:t>
        </x:is>
      </x:c>
      <x:c r="D13" s="109" t="inlineStr">
        <x:is>
          <x:t xml:space="preserve">gestational age at delivery; maternal age at conception; paternal age at conception</x:t>
        </x:is>
      </x:c>
      <x:c r="E13" s="109" t="inlineStr">
        <x:is>
          <x:t xml:space="preserve">advanced maternal age at conception; advanced paternal age at conception; gestational age at delivery; maternal age at conception; paternal age at conception</x:t>
        </x:is>
      </x:c>
      <x:c r="F13" s="109" t="inlineStr">
        <x:is>
          <x:t xml:space="preserve">Maternal age at delivery; Paternal age at delivery; gestational age at delivery; maternal age at conception; paternal age</x:t>
        </x:is>
      </x:c>
      <x:c r="G13" s="109" t="inlineStr">
        <x:is>
          <x:t xml:space="preserve">Gestational age at delivery; Maternal age at conception; Maternal age at delivery; Paternal age</x:t>
        </x:is>
      </x:c>
      <x:c r="H13" s="109" t="inlineStr">
        <x:is>
          <x:t xml:space="preserve">Maternal age at conception</x:t>
        </x:is>
      </x:c>
      <x:c r="I13" s="109" t="inlineStr">
        <x:is>
          <x:t xml:space="preserve">Maternal age at conception; maternal age at conception; paternal age at conception</x:t>
        </x:is>
      </x:c>
      <x:c r="J13" s="109" t="inlineStr">
        <x:is>
          <x:t xml:space="preserve">Maternal age at conception; Paternal age at conception</x:t>
        </x:is>
      </x:c>
      <x:c r="K13" s="109" t="inlineStr">
        <x:is>
          <x:t xml:space="preserve">Gestational age at delivery; Maternal age; Maternal age at conception</x:t>
        </x:is>
      </x:c>
      <x:c r="L13" s="127" t="n">
        <x:v>3</x:v>
      </x:c>
    </x:row>
    <x:row r="14" ht="56" customHeight="1">
      <x:c r="A14" s="109" t="inlineStr">
        <x:is>
          <x:t xml:space="preserve">B3</x:t>
        </x:is>
      </x:c>
      <x:c r="B14" s="109" t="inlineStr">
        <x:is>
          <x:t xml:space="preserve">Temporal context</x:t>
        </x:is>
      </x:c>
      <x:c r="C14" s="109" t="inlineStr">
        <x:is>
          <x:t xml:space="preserve">calendar year of conception; season of conception</x:t>
        </x:is>
      </x:c>
      <x:c r="D14" s="109" t="inlineStr">
        <x:is>
          <x:t xml:space="preserve">calendar year of conception; calendar year of pregnancy; season of conception</x:t>
        </x:is>
      </x:c>
      <x:c r="E14" s="109" t="inlineStr">
        <x:is>
          <x:t xml:space="preserve">calendar year of pregnancy; season of conception or early pregnancy</x:t>
        </x:is>
      </x:c>
      <x:c r="F14" s="109" t="inlineStr">
        <x:is>
          <x:t xml:space="preserve">Season of conception</x:t>
        </x:is>
      </x:c>
      <x:c r="G14" s="109" t="inlineStr">
        <x:is>
          <x:t xml:space="preserve">Season of conception</x:t>
        </x:is>
      </x:c>
      <x:c r="H14" s="109" t="inlineStr">
        <x:is>
          <x:t xml:space="preserve">season_of_conception</x:t>
        </x:is>
      </x:c>
      <x:c r="I14" s="109" t="inlineStr">
        <x:is>
          <x:t xml:space="preserve">—</x:t>
        </x:is>
      </x:c>
      <x:c r="J14" s="109" t="inlineStr">
        <x:is>
          <x:t xml:space="preserve">—</x:t>
        </x:is>
      </x:c>
      <x:c r="K14" s="109" t="inlineStr">
        <x:is>
          <x:t xml:space="preserve">—</x:t>
        </x:is>
      </x:c>
      <x:c r="L14" s="127" t="n">
        <x:v>2</x:v>
      </x:c>
    </x:row>
    <x:row r="15" ht="70" customHeight="1">
      <x:c r="A15" s="109" t="inlineStr">
        <x:is>
          <x:t xml:space="preserve">B3</x:t>
        </x:is>
      </x:c>
      <x:c r="B15" s="109" t="inlineStr">
        <x:is>
          <x:t xml:space="preserve">Family structure</x:t>
        </x:is>
      </x:c>
      <x:c r="C15" s="109" t="inlineStr">
        <x:is>
          <x:t xml:space="preserve">maternal marital or partnership status at conception</x:t>
        </x:is>
      </x:c>
      <x:c r="D15" s="109" t="inlineStr">
        <x:is>
          <x:t xml:space="preserve">marital or cohabitation status at conception; marital or partnership status</x:t>
        </x:is>
      </x:c>
      <x:c r="E15" s="109" t="inlineStr">
        <x:is>
          <x:t xml:space="preserve">marital or cohabitation status before pregnancy; maternal marital or cohabitation status</x:t>
        </x:is>
      </x:c>
      <x:c r="F15" s="109" t="inlineStr">
        <x:is>
          <x:t xml:space="preserve">Marital status</x:t>
        </x:is>
      </x:c>
      <x:c r="G15" s="109" t="inlineStr">
        <x:is>
          <x:t xml:space="preserve">Maternal marital status/partner support; Parental divorce/separation after child behavioral problems emerge</x:t>
        </x:is>
      </x:c>
      <x:c r="H15" s="109" t="inlineStr">
        <x:is>
          <x:t xml:space="preserve">maternal_marital_status; parental_divorce</x:t>
        </x:is>
      </x:c>
      <x:c r="I15" s="109" t="inlineStr">
        <x:is>
          <x:t xml:space="preserve">—</x:t>
        </x:is>
      </x:c>
      <x:c r="J15" s="109" t="inlineStr">
        <x:is>
          <x:t xml:space="preserve">Marital status / Family structure</x:t>
        </x:is>
      </x:c>
      <x:c r="K15" s="109" t="inlineStr">
        <x:is>
          <x:t xml:space="preserve">Maternal marital status</x:t>
        </x:is>
      </x:c>
      <x:c r="L15" s="127" t="n">
        <x:v>3</x:v>
      </x:c>
    </x:row>
    <x:row r="16" ht="126" customHeight="1">
      <x:c r="A16" s="109" t="inlineStr">
        <x:is>
          <x:t xml:space="preserve">B3</x:t>
        </x:is>
      </x:c>
      <x:c r="B16" s="109" t="inlineStr">
        <x:is>
          <x:t xml:space="preserve">Reproductive history/parity</x:t>
        </x:is>
      </x:c>
      <x:c r="C16" s="109" t="inlineStr">
        <x:is>
          <x:t xml:space="preserve">gravidity before index pregnancy; infertility diagnosis before conception; infertility diagnosis before index pregnancy; maternal fertility medication use before conception; multiple gestation status; parity before index pregnancy</x:t>
        </x:is>
      </x:c>
      <x:c r="D16" s="109" t="inlineStr">
        <x:is>
          <x:t xml:space="preserve">gravidity; gravidity before index pregnancy; history of infertility or subfertility; infertility history; multiple gestation recognized before paracetamol initiation; multiple gestation recognized before paracetamol use; parity; parity before index pregnancy</x:t>
        </x:is>
      </x:c>
      <x:c r="E16" s="109" t="inlineStr">
        <x:is>
          <x:t xml:space="preserve">gravidity before index pregnancy; gravidity before the index pregnancy; infertility diagnosis before conception; multiple gestation identified before paracetamol use; parity before index pregnancy; parity before the index pregnancy; previous child with ADHD or neurodevelopmental disorder; subfertility before conception</x:t>
        </x:is>
      </x:c>
      <x:c r="F16" s="109" t="inlineStr">
        <x:is>
          <x:t xml:space="preserve">Parity (number of previous live births); parity</x:t>
        </x:is>
      </x:c>
      <x:c r="G16" s="109" t="inlineStr">
        <x:is>
          <x:t xml:space="preserve">Fertility treatment; Parity; Previous child with ASD</x:t>
        </x:is>
      </x:c>
      <x:c r="H16" s="109" t="inlineStr">
        <x:is>
          <x:t xml:space="preserve">parity</x:t>
        </x:is>
      </x:c>
      <x:c r="I16" s="109" t="inlineStr">
        <x:is>
          <x:t xml:space="preserve">Parity (number of previous pregnancies)</x:t>
        </x:is>
      </x:c>
      <x:c r="J16" s="109" t="inlineStr">
        <x:is>
          <x:t xml:space="preserve">Parity</x:t>
        </x:is>
      </x:c>
      <x:c r="K16" s="109" t="inlineStr">
        <x:is>
          <x:t xml:space="preserve">Parity</x:t>
        </x:is>
      </x:c>
      <x:c r="L16" s="127" t="n">
        <x:v>3</x:v>
      </x:c>
    </x:row>
    <x:row r="17" ht="322" customHeight="1">
      <x:c r="A17" s="109" t="inlineStr">
        <x:is>
          <x:t xml:space="preserve">B3</x:t>
        </x:is>
      </x:c>
      <x:c r="B17" s="109" t="inlineStr">
        <x:is>
          <x:t xml:space="preserve">Lifestyle/substance use</x:t>
        </x:is>
      </x:c>
      <x:c r="C17" s="109" t="inlineStr">
        <x:is>
          <x:t xml:space="preserve">maternal alcohol use before first paracetamol use in pregnancy; maternal alcohol use before pregnancy; maternal caffeine intake before first paracetamol use in pregnancy; maternal caffeine intake before pregnancy; maternal cannabis use before first paracetamol use in pregnancy; maternal cannabis use before pregnancy; maternal diet quality before first paracetamol use in pregnancy; maternal diet quality before pregnancy; maternal folate status before pregnancy; maternal folic acid supplementation before first paracetamol use in pregnancy; maternal illicit drug use before pregnancy; maternal illicit stimulant use before first paracetamol use in pregnancy; maternal physical activity before first paracetamol use in pregnancy; maternal physical activity before pregnancy; maternal secondhand smoke exposure before first paracetamol use in pregnancy; maternal secondhand smoke exposure before pregnancy; maternal smoking before first paracetamol use in pregnancy; maternal smoking before pregnancy; paternal alcohol use disorder before pregnancy; paternal smoking before pregnancy</x:t>
        </x:is>
      </x:c>
      <x:c r="D17" s="109" t="inlineStr">
        <x:is>
          <x:t xml:space="preserve">drinking water contaminant exposure before paracetamol use; drinking water contaminant exposure before pregnancy; folic acid supplementation before or in early pregnancy before use; maternal alcohol use before paracetamol initiation; maternal alcohol use before paracetamol use; maternal caffeine intake before paracetamol initiation; maternal caffeine intake before paracetamol use; maternal cannabis use before paracetamol initiation; maternal cannabis use before paracetamol use; maternal diet quality before pregnancy; maternal folate status before or early in pregnancy; maternal illicit drug use before paracetamol use; maternal illicit stimulant use before paracetamol initiation; maternal physical activity before pregnancy; maternal smoking before paracetamol use; maternal tobacco smoking before paracetamol initiation; preconception folic acid supplement use; secondhand smoke exposure before paracetamol use; secondhand smoke exposure before pregnancy</x:t>
        </x:is>
      </x:c>
      <x:c r="E17" s="109" t="inlineStr">
        <x:is>
          <x:t xml:space="preserve">high caffeine intake before or during early pregnancy; low folate intake before pregnancy; maternal alcohol use before or during early pregnancy before paracetamol use; maternal alcohol use before or early in pregnancy; maternal caffeine intake before or early in pregnancy; maternal cannabis use before or during early pregnancy before paracetamol use; maternal cannabis use before or early in pregnancy; maternal diet quality before or early in pregnancy; maternal folate status before or early in pregnancy; maternal illicit stimulant or cocaine use before or early in pregnancy; maternal illicit stimulant use before pregnancy; maternal physical activity before or early in pregnancy; maternal secondhand smoke exposure before or early in pregnancy; maternal smoking before or during early pregnancy before paracetamol use; maternal tobacco smoking before or early in pregnancy; paternal alcohol or substance use around conception; paternal tobacco smoking around conception; poor diet quality before pregnancy; secondhand smoke exposure before or during early pregnancy</x:t>
        </x:is>
      </x:c>
      <x:c r="F17" s="109" t="inlineStr">
        <x:is>
          <x:t xml:space="preserve">Maternal alcohol consumption during pregnancy; Maternal dietary quality (e.g., Mediterranean diet score); Maternal folic acid or multivitamin supplement use during pregnancy; Maternal illicit drug use during pregnancy; Maternal physical activity level; Maternal smoking during pregnancy; child's diet quality in early childhood; child's exposure to secondhand smoke in early childhood; maternal alcohol consumption before pregnancy; maternal illicit drug use before pregnancy; maternal pre-pregnancy folic acid supplementation; maternal smoking before pregnancy</x:t>
        </x:is>
      </x:c>
      <x:c r="G17" s="109" t="inlineStr">
        <x:is>
          <x:t xml:space="preserve">Child diet/nutrition in early childhood; Child exposure to secondhand smoke postnatally; Maternal alcohol consumption before/during early pregnancy; Maternal alcohol consumption during pregnancy; Maternal caffeine intake during pregnancy; Maternal diet quality; Maternal folic acid supplementation; Maternal illicit drug use before/during early pregnancy; Maternal illicit drug use during pregnancy; Maternal physical activity during pregnancy; Maternal pre-pregnancy diet quality; Maternal pre-pregnancy physical activity; Maternal smoking before/during early pregnancy; Maternal smoking during pregnancy; Paternal smoking</x:t>
        </x:is>
      </x:c>
      <x:c r="H17" s="109" t="inlineStr">
        <x:is>
          <x:t xml:space="preserve">Maternal alcohol consumption during pregnancy; Maternal cannabis use during pregnancy; Maternal smoking during pregnancy; Prenatal vitamin use (folic acid); maternal_alcohol_during_pregnancy; maternal_illicit_drug_use; maternal_smoking_during_pregnancy</x:t>
        </x:is>
      </x:c>
      <x:c r="I17" s="109" t="inlineStr">
        <x:is>
          <x:t xml:space="preserve">Maternal alcohol consumption before or during early pregnancy; Maternal smoking status before or during early pregnancy; maternal alcohol consumption; maternal smoking during pregnancy; prenatal folic acid supplementation</x:t>
        </x:is>
      </x:c>
      <x:c r="J17" s="109" t="inlineStr">
        <x:is>
          <x:t xml:space="preserve">Maternal alcohol consumption during pregnancy; Maternal diet quality during pregnancy; Maternal folic acid supplementation; Maternal illicit drug use during pregnancy; Maternal physical activity during pregnancy; Maternal smoking during pregnancy; Prenatal vitamin / Folic acid supplementation</x:t>
        </x:is>
      </x:c>
      <x:c r="K17" s="109" t="inlineStr">
        <x:is>
          <x:t xml:space="preserve">Maternal alcohol consumption during pregnancy; Maternal alcohol use during pregnancy; Maternal folic acid or prenatal vitamin supplementation; Maternal illicit drug use during pregnancy; Maternal smoking during pregnancy</x:t>
        </x:is>
      </x:c>
      <x:c r="L17" s="127" t="n">
        <x:v>3</x:v>
      </x:c>
    </x:row>
    <x:row r="18" ht="294" customHeight="1">
      <x:c r="A18" s="109" t="inlineStr">
        <x:is>
          <x:t xml:space="preserve">B3</x:t>
        </x:is>
      </x:c>
      <x:c r="B18" s="109" t="inlineStr">
        <x:is>
          <x:t xml:space="preserve">Psychosocial stress</x:t>
        </x:is>
      </x:c>
      <x:c r="C18" s="109" t="inlineStr">
        <x:is>
          <x:t xml:space="preserve">fetal oxidative stress after acetaminophen exposure; fetal oxidative stress after paracetamol use; intimate partner violence before pregnancy; intrapartum fetal distress; low social support before pregnancy; maternal exposure to intimate partner violence before first paracetamol use in pregnancy; maternal injury or trauma before first paracetamol use in pregnancy; maternal injury or trauma before pregnancy; maternal oxidative stress after paracetamol use; maternal perceived stress before first paracetamol use in pregnancy; maternal perceived stress before pregnancy; maternal post-traumatic stress disorder before first paracetamol use in pregnancy; maternal post-traumatic stress disorder before pregnancy; maternal social support before first paracetamol use in pregnancy; neonatal respiratory distress; neonatal respiratory distress syndrome; placental oxidative stress after acetaminophen exposure; placental oxidative stress after paracetamol use</x:t>
        </x:is>
      </x:c>
      <x:c r="D18" s="109" t="inlineStr">
        <x:is>
          <x:t xml:space="preserve">family stress after child diagnosis; fetal oxidative stress; fetal oxidative stress after paracetamol exposure; intimate partner violence before paracetamol initiation; intimate partner violence before paracetamol use; intrapartum fetal distress; maternal chronic stress before pregnancy; maternal history of trauma or adverse childhood experiences; maternal injury or trauma before paracetamol initiation; maternal oxidative stress after paracetamol use; maternal perceived stress before paracetamol initiation; maternal social support before pregnancy; neonatal respiratory distress; placental oxidative stress after paracetamol exposure; placental oxidative stress markers</x:t>
        </x:is>
      </x:c>
      <x:c r="E18" s="109" t="inlineStr">
        <x:is>
          <x:t xml:space="preserve">fetal brain oxidative stress; fetal distress during labor; fetal oxidative stress; intimate partner violence before or during early pregnancy; intrapartum fetal distress; major life events before or early in pregnancy; major life events before paracetamol use; maternal childhood adversity history; maternal exposure to intimate partner violence before or early in pregnancy; maternal injury or musculoskeletal trauma before paracetamol use; maternal oxidative stress after paracetamol use; maternal perceived stress before or early in pregnancy; maternal post-traumatic stress disorder; maternal psychosocial stress before or during early pregnancy before paracetamol use; minor trauma or injury before paracetamol use; neonatal respiratory distress; parental stress after child behavioral diagnosis age; placental oxidative stress</x:t>
        </x:is>
      </x:c>
      <x:c r="F18" s="109" t="inlineStr">
        <x:is>
          <x:t xml:space="preserve">Maternal stress during early pregnancy; Parental stress post-ASD diagnosis; maternal stress during early pregnancy; parenting stress in early childhood</x:t>
        </x:is>
      </x:c>
      <x:c r="G18" s="109" t="inlineStr">
        <x:is>
          <x:t xml:space="preserve">Maternal childhood adversity; Maternal childhood trauma/abuse; Maternal pre-pregnancy stress/adverse life events; Maternal stress during pregnancy; Postpartum maternal stress</x:t>
        </x:is>
      </x:c>
      <x:c r="H18" s="109" t="inlineStr">
        <x:is>
          <x:t xml:space="preserve">maternal_stress</x:t>
        </x:is>
      </x:c>
      <x:c r="I18" s="109" t="inlineStr">
        <x:is>
          <x:t xml:space="preserve">Maternal psychosocial stress during pregnancy; maternal stress during pregnancy</x:t>
        </x:is>
      </x:c>
      <x:c r="J18" s="109" t="inlineStr">
        <x:is>
          <x:t xml:space="preserve">Maternal history of childhood trauma; Maternal stress during pregnancy</x:t>
        </x:is>
      </x:c>
      <x:c r="K18" s="109" t="inlineStr">
        <x:is>
          <x:t xml:space="preserve">Maternal stress and adverse life events; Maternal stress during pregnancy</x:t>
        </x:is>
      </x:c>
      <x:c r="L18" s="127" t="n">
        <x:v>3</x:v>
      </x:c>
    </x:row>
    <x:row r="19" ht="266" customHeight="1">
      <x:c r="A19" s="109" t="inlineStr">
        <x:is>
          <x:t xml:space="preserve">blind-spot</x:t>
        </x:is>
      </x:c>
      <x:c r="B19" s="109" t="inlineStr">
        <x:is>
          <x:t xml:space="preserve">Environmental/occupational toxicant exposures</x:t>
        </x:is>
      </x:c>
      <x:c r="C19" s="109" t="inlineStr">
        <x:is>
          <x:t xml:space="preserve">ambient PM2.5 air pollution exposure before first paracetamol use in pregnancy; ambient air pollution exposure before pregnancy; maternal PFAS exposure before first paracetamol use in pregnancy; maternal bisphenol A exposure before first paracetamol use in pregnancy; maternal bisphenol A exposure before pregnancy; maternal lead exposure before pregnancy; maternal occupational solvent exposure before first paracetamol use in pregnancy; maternal occupational solvent exposure before pregnancy; maternal pesticide exposure before pregnancy; maternal phthalate exposure before first paracetamol use in pregnancy; maternal phthalate exposure before pregnancy; paternal occupational toxicant exposure before conception; residential pesticide exposure before first paracetamol use in pregnancy; traffic-related air pollution exposure before first paracetamol use in pregnancy</x:t>
        </x:is>
      </x:c>
      <x:c r="D19" s="109" t="inlineStr">
        <x:is>
          <x:t xml:space="preserve">PFAS exposure before paracetamol use; ambient air pollution exposure before paracetamol use; bisphenol A exposure before paracetamol use; lead exposure before paracetamol use; maternal bisphenol A exposure before or early in pregnancy; maternal blood lead level before or early in pregnancy; maternal pesticide exposure before pregnancy; maternal phthalate exposure before or early in pregnancy; occupational solvent exposure before paracetamol use; pesticide exposure before paracetamol use; phthalate exposure before paracetamol use; residential traffic-related air pollution before pregnancy</x:t>
        </x:is>
      </x:c>
      <x:c r="E19" s="109" t="inlineStr">
        <x:is>
          <x:t xml:space="preserve">ambient air pollution exposure before or during early pregnancy; ambient air pollution exposure before or early in pregnancy; maternal PFAS exposure before or early in pregnancy; maternal bisphenol A exposure before or early in pregnancy; maternal lead exposure before or early in pregnancy; maternal occupational solvent exposure before or early in pregnancy; maternal pesticide exposure before or early in pregnancy; maternal phthalate exposure before or early in pregnancy; occupational exposure to pesticides before or during early pregnancy; occupational exposure to solvents before or during early pregnancy; residential pesticide exposure before or during early pregnancy; traffic-related air pollution before or during early pregnancy</x:t>
        </x:is>
      </x:c>
      <x:c r="F19" s="109" t="inlineStr">
        <x:is>
          <x:t xml:space="preserve">Air pollution exposure during early pregnancy (e.g., PM2.5); Lead exposure during pregnancy; Pesticide exposure during pregnancy; maternal pre-pregnancy lead exposure; residential air pollution exposure before pregnancy</x:t>
        </x:is>
      </x:c>
      <x:c r="G19" s="109" t="inlineStr">
        <x:is>
          <x:t xml:space="preserve">Air pollution exposure during pregnancy; Maternal pre-pregnancy environmental toxin exposure (lead, air pollution); Paternal occupational exposures</x:t>
        </x:is>
      </x:c>
      <x:c r="H19" s="109" t="inlineStr">
        <x:is>
          <x:t xml:space="preserve">—</x:t>
        </x:is>
      </x:c>
      <x:c r="I19" s="109" t="inlineStr">
        <x:is>
          <x:t xml:space="preserve">environmental endocrine disruptor exposure</x:t>
        </x:is>
      </x:c>
      <x:c r="J19" s="109" t="inlineStr">
        <x:is>
          <x:t xml:space="preserve">Maternal occupational exposures</x:t>
        </x:is>
      </x:c>
      <x:c r="K19" s="109" t="inlineStr">
        <x:is>
          <x:t xml:space="preserve">—</x:t>
        </x:is>
      </x:c>
      <x:c r="L19" s="127" t="n">
        <x:v>3</x:v>
      </x:c>
    </x:row>
    <x:row r="20" ht="56" customHeight="1">
      <x:c r="A20" s="109" t="inlineStr">
        <x:is>
          <x:t xml:space="preserve">blind-spot</x:t>
        </x:is>
      </x:c>
      <x:c r="B20" s="109" t="inlineStr">
        <x:is>
          <x:t xml:space="preserve">Acetaminophen pharmacogenetics/metabolism</x:t>
        </x:is>
      </x:c>
      <x:c r="C20" s="109" t="inlineStr">
        <x:is>
          <x:t xml:space="preserve">fetal CYP2E1 genotype; maternal CYP2E1 genotype</x:t>
        </x:is>
      </x:c>
      <x:c r="D20" s="109" t="inlineStr">
        <x:is>
          <x:t xml:space="preserve">—</x:t>
        </x:is>
      </x:c>
      <x:c r="E20" s="109" t="inlineStr">
        <x:is>
          <x:t xml:space="preserve">maternal genetic variants affecting acetaminophen metabolism</x:t>
        </x:is>
      </x:c>
      <x:c r="F20" s="109" t="inlineStr">
        <x:is>
          <x:t xml:space="preserve">Maternal CYP2E1 polymorphism; Maternal GSTT1/GSTM1 null genotype</x:t>
        </x:is>
      </x:c>
      <x:c r="G20" s="109" t="inlineStr">
        <x:is>
          <x:t xml:space="preserve">—</x:t>
        </x:is>
      </x:c>
      <x:c r="H20" s="109" t="inlineStr">
        <x:is>
          <x:t xml:space="preserve">—</x:t>
        </x:is>
      </x:c>
      <x:c r="I20" s="109" t="inlineStr">
        <x:is>
          <x:t xml:space="preserve">—</x:t>
        </x:is>
      </x:c>
      <x:c r="J20" s="109" t="inlineStr">
        <x:is>
          <x:t xml:space="preserve">—</x:t>
        </x:is>
      </x:c>
      <x:c r="K20" s="109" t="inlineStr">
        <x:is>
          <x:t xml:space="preserve">—</x:t>
        </x:is>
      </x:c>
      <x:c r="L20" s="127" t="n">
        <x:v>2</x:v>
      </x:c>
    </x:row>
    <x:row r="21">
      <x:c r="A21" s="109"/>
      <x:c r="B21" s="109" t="inlineStr">
        <x:is>
          <x:t xml:space="preserve">Recall, Track A (/17)</x:t>
        </x:is>
      </x:c>
      <x:c r="C21" s="109" t="inlineStr">
        <x:is>
          <x:t xml:space="preserve">17/17</x:t>
        </x:is>
      </x:c>
      <x:c r="D21" s="109" t="inlineStr">
        <x:is>
          <x:t xml:space="preserve">17/17</x:t>
        </x:is>
      </x:c>
      <x:c r="E21" s="109" t="inlineStr">
        <x:is>
          <x:t xml:space="preserve">17/17</x:t>
        </x:is>
      </x:c>
      <x:c r="F21" s="109" t="inlineStr">
        <x:is>
          <x:t xml:space="preserve">16/17</x:t>
        </x:is>
      </x:c>
      <x:c r="G21" s="109" t="inlineStr">
        <x:is>
          <x:t xml:space="preserve">17/17</x:t>
        </x:is>
      </x:c>
      <x:c r="H21" s="109" t="inlineStr">
        <x:is>
          <x:t xml:space="preserve">17/17</x:t>
        </x:is>
      </x:c>
      <x:c r="I21" s="109" t="inlineStr">
        <x:is>
          <x:t xml:space="preserve">13/17</x:t>
        </x:is>
      </x:c>
      <x:c r="J21" s="109" t="inlineStr">
        <x:is>
          <x:t xml:space="preserve">16/17</x:t>
        </x:is>
      </x:c>
      <x:c r="K21" s="109" t="inlineStr">
        <x:is>
          <x:t xml:space="preserve">14/17</x:t>
        </x:is>
      </x:c>
      <x:c r="L21" s="109"/>
    </x:row>
    <x:row r="22">
      <x:c r="A22" s="109"/>
      <x:c r="B22" s="109" t="inlineStr">
        <x:is>
          <x:t xml:space="preserve">Recall %</x:t>
        </x:is>
      </x:c>
      <x:c r="C22" s="109" t="inlineStr">
        <x:is>
          <x:t xml:space="preserve">100%</x:t>
        </x:is>
      </x:c>
      <x:c r="D22" s="109" t="inlineStr">
        <x:is>
          <x:t xml:space="preserve">100%</x:t>
        </x:is>
      </x:c>
      <x:c r="E22" s="109" t="inlineStr">
        <x:is>
          <x:t xml:space="preserve">100%</x:t>
        </x:is>
      </x:c>
      <x:c r="F22" s="109" t="inlineStr">
        <x:is>
          <x:t xml:space="preserve">94%</x:t>
        </x:is>
      </x:c>
      <x:c r="G22" s="109" t="inlineStr">
        <x:is>
          <x:t xml:space="preserve">100%</x:t>
        </x:is>
      </x:c>
      <x:c r="H22" s="109" t="inlineStr">
        <x:is>
          <x:t xml:space="preserve">100%</x:t>
        </x:is>
      </x:c>
      <x:c r="I22" s="109" t="inlineStr">
        <x:is>
          <x:t xml:space="preserve">76%</x:t>
        </x:is>
      </x:c>
      <x:c r="J22" s="109" t="inlineStr">
        <x:is>
          <x:t xml:space="preserve">94%</x:t>
        </x:is>
      </x:c>
      <x:c r="K22" s="109" t="inlineStr">
        <x:is>
          <x:t xml:space="preserve">82%</x:t>
        </x:is>
      </x:c>
      <x:c r="L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</x:row>
    <x:row r="25" ht="36" customHeight="1">
      <x:c r="A25" s="82" t="inlineStr">
        <x:is>
          <x:t>Input mapping before evidence verification. Use Mapping review for assessed matches and Recall summary for current recall results.</x:t>
        </x:is>
      </x:c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</x:row>
  </x:sheetData>
  <x:mergeCells>
    <x:mergeCell ref="A25:L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9" hidden="0" customWidth="1"/>
    <x:col min="4" max="4" width="13" hidden="0" customWidth="1"/>
    <x:col min="5" max="5" width="56" hidden="0" customWidth="1"/>
    <x:col min="6" max="6" width="12" hidden="0" customWidth="1"/>
    <x:col min="7" max="7" width="29" hidden="0" customWidth="1"/>
    <x:col min="8" max="8" width="16" hidden="0" customWidth="1"/>
    <x:col min="9" max="9" width="72" hidden="0" customWidth="1"/>
    <x:col min="10" max="10" width="80" hidden="0" customWidth="1"/>
    <x:col min="11" max="11" width="44" hidden="0" customWidth="1"/>
    <x:col min="12" max="12" width="22" hidden="0" customWidth="1"/>
  </x:cols>
  <x:sheetData>
    <x:row r="1" ht="15" customHeight="1">
      <x:c r="A1" s="97" t="str">
        <x:v>Original cell</x:v>
      </x:c>
      <x:c r="B1" s="97" t="str">
        <x:v>Track A construct</x:v>
      </x:c>
      <x:c r="C1" s="97" t="str">
        <x:v>Model / prompt</x:v>
      </x:c>
      <x:c r="D1" s="97" t="str">
        <x:v>Recalled (0/1)</x:v>
      </x:c>
      <x:c r="E1" s="97" t="str">
        <x:v>Audited evidence example</x:v>
      </x:c>
      <x:c r="F1" s="97" t="str">
        <x:v>Outcome</x:v>
      </x:c>
      <x:c r="G1" s="97" t="str">
        <x:v>Raw timing</x:v>
      </x:c>
      <x:c r="H1" s="97" t="str">
        <x:v>Raw role</x:v>
      </x:c>
      <x:c r="I1" s="97" t="str">
        <x:v>Source file and variable index</x:v>
      </x:c>
      <x:c r="J1" s="97" t="str">
        <x:v>Rationale</x:v>
      </x:c>
      <x:c r="K1" s="97" t="str">
        <x:v>Review status</x:v>
      </x:c>
      <x:c r="L1" s="97" t="str">
        <x:v>Author review</x:v>
      </x:c>
    </x:row>
    <x:row r="2" ht="94" customHeight="1">
      <x:c r="A2" s="109" t="str">
        <x:v>C2</x:v>
      </x:c>
      <x:c r="B2" s="109" t="str">
        <x:v>Shared familial/genetic background</x:v>
      </x:c>
      <x:c r="C2" s="109" t="str">
        <x:v>GPT5.5-A</x:v>
      </x:c>
      <x:c r="D2" s="127" t="n">
        <x:v>1</x:v>
      </x:c>
      <x:c r="E2" s="109" t="str">
        <x:v>family history of ADHD</x:v>
      </x:c>
      <x:c r="F2" s="109" t="str">
        <x:v>ADHD</x:v>
      </x:c>
      <x:c r="G2" s="109" t="str">
        <x:v>pre_exposure</x:v>
      </x:c>
      <x:c r="H2" s="109" t="str">
        <x:v>confounder</x:v>
      </x:c>
      <x:c r="I2" s="109" t="str">
        <x:v>historical_induction/raw_candidate_runs/runs_v2_openai_adhd/v2_gpt-5.5_A.json#variables[33]</x:v>
      </x:c>
      <x:c r="J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" s="109" t="str">
        <x:v/>
      </x:c>
      <x:c r="L2" s="109"/>
    </x:row>
    <x:row r="3" ht="94" customHeight="1">
      <x:c r="A3" s="109" t="str">
        <x:v>D2</x:v>
      </x:c>
      <x:c r="B3" s="109" t="str">
        <x:v>Shared familial/genetic background</x:v>
      </x:c>
      <x:c r="C3" s="109" t="str">
        <x:v>GPT5.5-B</x:v>
      </x:c>
      <x:c r="D3" s="127" t="n">
        <x:v>1</x:v>
      </x:c>
      <x:c r="E3" s="109" t="str">
        <x:v>family history of ADHD</x:v>
      </x:c>
      <x:c r="F3" s="109" t="str">
        <x:v>ASD</x:v>
      </x:c>
      <x:c r="G3" s="109" t="str">
        <x:v>pre_exposure</x:v>
      </x:c>
      <x:c r="H3" s="109" t="str">
        <x:v>confounder</x:v>
      </x:c>
      <x:c r="I3" s="109" t="str">
        <x:v>historical_induction/raw_candidate_runs/runs_v2_openai/v2_gpt-5.5_B.json#variables[6]</x:v>
      </x:c>
      <x:c r="J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" s="109" t="str">
        <x:v/>
      </x:c>
      <x:c r="L3" s="109"/>
    </x:row>
    <x:row r="4" ht="94" customHeight="1">
      <x:c r="A4" s="109" t="str">
        <x:v>E2</x:v>
      </x:c>
      <x:c r="B4" s="109" t="str">
        <x:v>Shared familial/genetic background</x:v>
      </x:c>
      <x:c r="C4" s="109" t="str">
        <x:v>GPT5.5-C</x:v>
      </x:c>
      <x:c r="D4" s="127" t="n">
        <x:v>1</x:v>
      </x:c>
      <x:c r="E4" s="109" t="str">
        <x:v>family history of ADHD</x:v>
      </x:c>
      <x:c r="F4" s="109" t="str">
        <x:v>ASD</x:v>
      </x:c>
      <x:c r="G4" s="109" t="str">
        <x:v>pre_exposure</x:v>
      </x:c>
      <x:c r="H4" s="109" t="str">
        <x:v>confounder</x:v>
      </x:c>
      <x:c r="I4" s="109" t="str">
        <x:v>historical_induction/raw_candidate_runs/runs_v2_openai/v2_gpt-5.5_C.json#variables[48]</x:v>
      </x:c>
      <x:c r="J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" s="109" t="str">
        <x:v/>
      </x:c>
      <x:c r="L4" s="109"/>
    </x:row>
    <x:row r="5" ht="94" customHeight="1">
      <x:c r="A5" s="109" t="str">
        <x:v>F2</x:v>
      </x:c>
      <x:c r="B5" s="109" t="str">
        <x:v>Shared familial/genetic background</x:v>
      </x:c>
      <x:c r="C5" s="109" t="str">
        <x:v>DeepSeekV4-A</x:v>
      </x:c>
      <x:c r="D5" s="127" t="n">
        <x:v>1</x:v>
      </x:c>
      <x:c r="E5" s="109" t="str">
        <x:v>Family history of autism spectrum disorder</x:v>
      </x:c>
      <x:c r="F5" s="109" t="str">
        <x:v>ASD</x:v>
      </x:c>
      <x:c r="G5" s="109" t="str">
        <x:v>pre_exposure</x:v>
      </x:c>
      <x:c r="H5" s="109" t="str">
        <x:v>confounder</x:v>
      </x:c>
      <x:c r="I5" s="109" t="str">
        <x:v>historical_induction/raw_candidate_runs/runs_v2_deepseek/v2_deepseek-v4-pro_A.json#variables[19]</x:v>
      </x:c>
      <x:c r="J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" s="109" t="str">
        <x:v/>
      </x:c>
      <x:c r="L5" s="109"/>
    </x:row>
    <x:row r="6" ht="94" customHeight="1">
      <x:c r="A6" s="109" t="str">
        <x:v>G2</x:v>
      </x:c>
      <x:c r="B6" s="109" t="str">
        <x:v>Shared familial/genetic background</x:v>
      </x:c>
      <x:c r="C6" s="109" t="str">
        <x:v>DeepSeekV4-B</x:v>
      </x:c>
      <x:c r="D6" s="127" t="n">
        <x:v>1</x:v>
      </x:c>
      <x:c r="E6" s="109" t="str">
        <x:v>Family history of ADHD</x:v>
      </x:c>
      <x:c r="F6" s="109" t="str">
        <x:v>ADHD</x:v>
      </x:c>
      <x:c r="G6" s="109" t="str">
        <x:v>pre_exposure</x:v>
      </x:c>
      <x:c r="H6" s="109" t="str">
        <x:v>confounder</x:v>
      </x:c>
      <x:c r="I6" s="109" t="str">
        <x:v>historical_induction/raw_candidate_runs/runs_v2_deepseek_adhd/v2_deepseek-v4-pro_B.json#variables[12]</x:v>
      </x:c>
      <x:c r="J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" s="109" t="str">
        <x:v/>
      </x:c>
      <x:c r="L6" s="109"/>
    </x:row>
    <x:row r="7" ht="94" customHeight="1">
      <x:c r="A7" s="109" t="str">
        <x:v>H2</x:v>
      </x:c>
      <x:c r="B7" s="109" t="str">
        <x:v>Shared familial/genetic background</x:v>
      </x:c>
      <x:c r="C7" s="109" t="str">
        <x:v>DeepSeekV4-C</x:v>
      </x:c>
      <x:c r="D7" s="127" t="n">
        <x:v>1</x:v>
      </x:c>
      <x:c r="E7" s="109" t="str">
        <x:v>Family history of attention-deficit/hyperactivity disorder</x:v>
      </x:c>
      <x:c r="F7" s="109" t="str">
        <x:v>ASD</x:v>
      </x:c>
      <x:c r="G7" s="109" t="str">
        <x:v>pre_exposure</x:v>
      </x:c>
      <x:c r="H7" s="109" t="str">
        <x:v>confounder</x:v>
      </x:c>
      <x:c r="I7" s="109" t="str">
        <x:v>historical_induction/raw_candidate_runs/runs_v2_deepseek/v2_deepseek-v4-pro_C.json#variables[13]</x:v>
      </x:c>
      <x:c r="J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" s="109" t="str">
        <x:v/>
      </x:c>
      <x:c r="L7" s="109"/>
    </x:row>
    <x:row r="8" ht="94" customHeight="1">
      <x:c r="A8" s="109" t="str">
        <x:v>I2</x:v>
      </x:c>
      <x:c r="B8" s="109" t="str">
        <x:v>Shared familial/genetic background</x:v>
      </x:c>
      <x:c r="C8" s="109" t="str">
        <x:v>Gemini3.1-A</x:v>
      </x:c>
      <x:c r="D8" s="127" t="n">
        <x:v>1</x:v>
      </x:c>
      <x:c r="E8" s="109" t="str">
        <x:v>family history of ASD</x:v>
      </x:c>
      <x:c r="F8" s="109" t="str">
        <x:v>ASD</x:v>
      </x:c>
      <x:c r="G8" s="109" t="str">
        <x:v>pre_exposure</x:v>
      </x:c>
      <x:c r="H8" s="109" t="str">
        <x:v>confounder</x:v>
      </x:c>
      <x:c r="I8" s="109" t="str">
        <x:v>historical_induction/raw_candidate_runs/runs_v2_gemini/v2_gemini-3.1-pro-preview_A.json#variables[5]</x:v>
      </x:c>
      <x:c r="J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" s="109" t="str">
        <x:v/>
      </x:c>
      <x:c r="L8" s="109"/>
    </x:row>
    <x:row r="9" ht="94" customHeight="1">
      <x:c r="A9" s="109" t="str">
        <x:v>J2</x:v>
      </x:c>
      <x:c r="B9" s="109" t="str">
        <x:v>Shared familial/genetic background</x:v>
      </x:c>
      <x:c r="C9" s="109" t="str">
        <x:v>Gemini3.1-B</x:v>
      </x:c>
      <x:c r="D9" s="127" t="n">
        <x:v>1</x:v>
      </x:c>
      <x:c r="E9" s="109" t="str">
        <x:v>Family history of ADHD or other neurodevelopmental disorders</x:v>
      </x:c>
      <x:c r="F9" s="109" t="str">
        <x:v>ASD</x:v>
      </x:c>
      <x:c r="G9" s="109" t="str">
        <x:v>pre_exposure</x:v>
      </x:c>
      <x:c r="H9" s="109" t="str">
        <x:v>confounder</x:v>
      </x:c>
      <x:c r="I9" s="109" t="str">
        <x:v>historical_induction/raw_candidate_runs/runs_v2_gemini/v2_gemini-3.1-pro-preview_B.json#variables[5]</x:v>
      </x:c>
      <x:c r="J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" s="109" t="str">
        <x:v/>
      </x:c>
      <x:c r="L9" s="109"/>
    </x:row>
    <x:row r="10" ht="94" customHeight="1">
      <x:c r="A10" s="109" t="str">
        <x:v>K2</x:v>
      </x:c>
      <x:c r="B10" s="109" t="str">
        <x:v>Shared familial/genetic background</x:v>
      </x:c>
      <x:c r="C10" s="109" t="str">
        <x:v>Gemini3.1-C</x:v>
      </x:c>
      <x:c r="D10" s="127" t="n">
        <x:v>1</x:v>
      </x:c>
      <x:c r="E10" s="109" t="str">
        <x:v>Family history of ASD or neurodevelopmental disorders</x:v>
      </x:c>
      <x:c r="F10" s="109" t="str">
        <x:v>ASD</x:v>
      </x:c>
      <x:c r="G10" s="109" t="str">
        <x:v>pre_exposure</x:v>
      </x:c>
      <x:c r="H10" s="109" t="str">
        <x:v>confounder</x:v>
      </x:c>
      <x:c r="I10" s="109" t="str">
        <x:v>historical_induction/raw_candidate_runs/runs_v2_gemini/v2_gemini-3.1-pro-preview_C.json#variables[10]</x:v>
      </x:c>
      <x:c r="J1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" s="109" t="str">
        <x:v/>
      </x:c>
      <x:c r="L10" s="109"/>
    </x:row>
    <x:row r="11" ht="94" customHeight="1">
      <x:c r="A11" s="109" t="str">
        <x:v>C3</x:v>
      </x:c>
      <x:c r="B11" s="109" t="str">
        <x:v>Maternal neurodevelopmental liability</x:v>
      </x:c>
      <x:c r="C11" s="109" t="str">
        <x:v>GPT5.5-A</x:v>
      </x:c>
      <x:c r="D11" s="127" t="n">
        <x:v>1</x:v>
      </x:c>
      <x:c r="E11" s="109" t="str">
        <x:v>maternal ADHD diagnosis before pregnancy</x:v>
      </x:c>
      <x:c r="F11" s="109" t="str">
        <x:v>ADHD</x:v>
      </x:c>
      <x:c r="G11" s="109" t="str">
        <x:v>pre_exposure</x:v>
      </x:c>
      <x:c r="H11" s="109" t="str">
        <x:v>confounder</x:v>
      </x:c>
      <x:c r="I11" s="109" t="str">
        <x:v>historical_induction/raw_candidate_runs/runs_v2_openai_adhd/v2_gpt-5.5_A.json#variables[28]</x:v>
      </x:c>
      <x:c r="J1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" s="109" t="str">
        <x:v/>
      </x:c>
      <x:c r="L11" s="109"/>
    </x:row>
    <x:row r="12" ht="94" customHeight="1">
      <x:c r="A12" s="109" t="str">
        <x:v>D3</x:v>
      </x:c>
      <x:c r="B12" s="109" t="str">
        <x:v>Maternal neurodevelopmental liability</x:v>
      </x:c>
      <x:c r="C12" s="109" t="str">
        <x:v>GPT5.5-B</x:v>
      </x:c>
      <x:c r="D12" s="127" t="n">
        <x:v>1</x:v>
      </x:c>
      <x:c r="E12" s="109" t="str">
        <x:v>maternal ADHD</x:v>
      </x:c>
      <x:c r="F12" s="109" t="str">
        <x:v>ASD</x:v>
      </x:c>
      <x:c r="G12" s="109" t="str">
        <x:v>pre_exposure</x:v>
      </x:c>
      <x:c r="H12" s="109" t="str">
        <x:v>confounder</x:v>
      </x:c>
      <x:c r="I12" s="109" t="str">
        <x:v>historical_induction/raw_candidate_runs/runs_v2_openai/v2_gpt-5.5_B.json#variables[14]</x:v>
      </x:c>
      <x:c r="J1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" s="109" t="str">
        <x:v/>
      </x:c>
      <x:c r="L12" s="109"/>
    </x:row>
    <x:row r="13" ht="94" customHeight="1">
      <x:c r="A13" s="109" t="str">
        <x:v>E3</x:v>
      </x:c>
      <x:c r="B13" s="109" t="str">
        <x:v>Maternal neurodevelopmental liability</x:v>
      </x:c>
      <x:c r="C13" s="109" t="str">
        <x:v>GPT5.5-C</x:v>
      </x:c>
      <x:c r="D13" s="127" t="n">
        <x:v>1</x:v>
      </x:c>
      <x:c r="E13" s="109" t="str">
        <x:v>maternal ADHD before pregnancy</x:v>
      </x:c>
      <x:c r="F13" s="109" t="str">
        <x:v>ASD</x:v>
      </x:c>
      <x:c r="G13" s="109" t="str">
        <x:v>pre_exposure</x:v>
      </x:c>
      <x:c r="H13" s="109" t="str">
        <x:v>confounder</x:v>
      </x:c>
      <x:c r="I13" s="109" t="str">
        <x:v>historical_induction/raw_candidate_runs/runs_v2_openai/v2_gpt-5.5_C.json#variables[42]</x:v>
      </x:c>
      <x:c r="J1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" s="109" t="str">
        <x:v/>
      </x:c>
      <x:c r="L13" s="109"/>
    </x:row>
    <x:row r="14" ht="94" customHeight="1">
      <x:c r="A14" s="109" t="str">
        <x:v>F3</x:v>
      </x:c>
      <x:c r="B14" s="109" t="str">
        <x:v>Maternal neurodevelopmental liability</x:v>
      </x:c>
      <x:c r="C14" s="109" t="str">
        <x:v>DeepSeekV4-A</x:v>
      </x:c>
      <x:c r="D14" s="127" t="n">
        <x:v>1</x:v>
      </x:c>
      <x:c r="E14" s="109" t="str">
        <x:v>maternal history of ADHD</x:v>
      </x:c>
      <x:c r="F14" s="109" t="str">
        <x:v>ADHD</x:v>
      </x:c>
      <x:c r="G14" s="109" t="str">
        <x:v>pre_exposure</x:v>
      </x:c>
      <x:c r="H14" s="109" t="str">
        <x:v>confounder</x:v>
      </x:c>
      <x:c r="I14" s="109" t="str">
        <x:v>historical_induction/raw_candidate_runs/runs_v2_deepseek_adhd/v2_deepseek-v4-pro_A.json#variables[14]</x:v>
      </x:c>
      <x:c r="J14" s="109" t="inlineStr">
        <x:is>
          <x:t>Maternal history of ADHD matches the construct and pre-exposure timing (ADHD raw variable 14); recall = 1.</x:t>
        </x:is>
      </x:c>
      <x:c r="K14" s="109" t="str">
        <x:v/>
      </x:c>
      <x:c r="L14" s="109"/>
    </x:row>
    <x:row r="15" ht="94" customHeight="1">
      <x:c r="A15" s="109" t="str">
        <x:v>G3</x:v>
      </x:c>
      <x:c r="B15" s="109" t="str">
        <x:v>Maternal neurodevelopmental liability</x:v>
      </x:c>
      <x:c r="C15" s="109" t="str">
        <x:v>DeepSeekV4-B</x:v>
      </x:c>
      <x:c r="D15" s="127" t="n">
        <x:v>1</x:v>
      </x:c>
      <x:c r="E15" s="109" t="str">
        <x:v>Maternal ADHD diagnosis or symptoms</x:v>
      </x:c>
      <x:c r="F15" s="109" t="str">
        <x:v>ADHD</x:v>
      </x:c>
      <x:c r="G15" s="109" t="str">
        <x:v>pre_exposure</x:v>
      </x:c>
      <x:c r="H15" s="109" t="str">
        <x:v>confounder</x:v>
      </x:c>
      <x:c r="I15" s="109" t="str">
        <x:v>historical_induction/raw_candidate_runs/runs_v2_deepseek_adhd/v2_deepseek-v4-pro_B.json#variables[8]</x:v>
      </x:c>
      <x:c r="J1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" s="109" t="str">
        <x:v/>
      </x:c>
      <x:c r="L15" s="109"/>
    </x:row>
    <x:row r="16" ht="94" customHeight="1">
      <x:c r="A16" s="109" t="str">
        <x:v>H3</x:v>
      </x:c>
      <x:c r="B16" s="109" t="str">
        <x:v>Maternal neurodevelopmental liability</x:v>
      </x:c>
      <x:c r="C16" s="109" t="str">
        <x:v>DeepSeekV4-C</x:v>
      </x:c>
      <x:c r="D16" s="127" t="n">
        <x:v>1</x:v>
      </x:c>
      <x:c r="E16" s="109" t="str">
        <x:v>Maternal cognitive ability</x:v>
      </x:c>
      <x:c r="F16" s="109" t="str">
        <x:v>ASD</x:v>
      </x:c>
      <x:c r="G16" s="109" t="str">
        <x:v>pre_exposure</x:v>
      </x:c>
      <x:c r="H16" s="109" t="str">
        <x:v>confounder</x:v>
      </x:c>
      <x:c r="I16" s="109" t="str">
        <x:v>historical_induction/raw_candidate_runs/runs_v2_deepseek/v2_deepseek-v4-pro_C.json#variables[18]</x:v>
      </x:c>
      <x:c r="J1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6" s="109" t="str">
        <x:v/>
      </x:c>
      <x:c r="L16" s="109"/>
    </x:row>
    <x:row r="17" ht="94" customHeight="1">
      <x:c r="A17" s="109" t="str">
        <x:v>I3</x:v>
      </x:c>
      <x:c r="B17" s="109" t="str">
        <x:v>Maternal neurodevelopmental liability</x:v>
      </x:c>
      <x:c r="C17" s="109" t="str">
        <x:v>Gemini3.1-A</x:v>
      </x:c>
      <x:c r="D17" s="127" t="n">
        <x:v>1</x:v>
      </x:c>
      <x:c r="E17" s="109" t="str">
        <x:v>Maternal ADHD diagnosis or symptoms</x:v>
      </x:c>
      <x:c r="F17" s="109" t="str">
        <x:v>ADHD</x:v>
      </x:c>
      <x:c r="G17" s="109" t="str">
        <x:v>pre_exposure</x:v>
      </x:c>
      <x:c r="H17" s="109" t="str">
        <x:v>confounder</x:v>
      </x:c>
      <x:c r="I17" s="109" t="str">
        <x:v>historical_induction/raw_candidate_runs/runs_v2_gemini_adhd/v2_gemini-3.1-pro-preview_A.json#variables[2]</x:v>
      </x:c>
      <x:c r="J1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7" s="109" t="str">
        <x:v/>
      </x:c>
      <x:c r="L17" s="109"/>
    </x:row>
    <x:row r="18" ht="94" customHeight="1">
      <x:c r="A18" s="109" t="str">
        <x:v>J3</x:v>
      </x:c>
      <x:c r="B18" s="109" t="str">
        <x:v>Maternal neurodevelopmental liability</x:v>
      </x:c>
      <x:c r="C18" s="109" t="str">
        <x:v>Gemini3.1-B</x:v>
      </x:c>
      <x:c r="D18" s="127" t="n">
        <x:v>1</x:v>
      </x:c>
      <x:c r="E18" s="109" t="str">
        <x:v>Maternal ADHD</x:v>
      </x:c>
      <x:c r="F18" s="109" t="str">
        <x:v>ADHD</x:v>
      </x:c>
      <x:c r="G18" s="109" t="str">
        <x:v>pre_exposure</x:v>
      </x:c>
      <x:c r="H18" s="109" t="str">
        <x:v>confounder</x:v>
      </x:c>
      <x:c r="I18" s="109" t="str">
        <x:v>historical_induction/raw_candidate_runs/runs_v2_gemini_adhd/v2_gemini-3.1-pro-preview_B.json#variables[0]</x:v>
      </x:c>
      <x:c r="J1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8" s="109" t="str">
        <x:v/>
      </x:c>
      <x:c r="L18" s="109"/>
    </x:row>
    <x:row r="19" ht="94" customHeight="1">
      <x:c r="A19" s="109" t="str">
        <x:v>K3</x:v>
      </x:c>
      <x:c r="B19" s="109" t="str">
        <x:v>Maternal neurodevelopmental liability</x:v>
      </x:c>
      <x:c r="C19" s="109" t="str">
        <x:v>Gemini3.1-C</x:v>
      </x:c>
      <x:c r="D19" s="127" t="n">
        <x:v>1</x:v>
      </x:c>
      <x:c r="E19" s="109" t="str">
        <x:v>Maternal ADHD</x:v>
      </x:c>
      <x:c r="F19" s="109" t="str">
        <x:v>ADHD</x:v>
      </x:c>
      <x:c r="G19" s="109" t="str">
        <x:v>pre_exposure</x:v>
      </x:c>
      <x:c r="H19" s="109" t="str">
        <x:v>confounder</x:v>
      </x:c>
      <x:c r="I19" s="109" t="str">
        <x:v>historical_induction/raw_candidate_runs/runs_v2_gemini_adhd/v2_gemini-3.1-pro-preview_C.json#variables[0]</x:v>
      </x:c>
      <x:c r="J1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9" s="109" t="str">
        <x:v/>
      </x:c>
      <x:c r="L19" s="109"/>
    </x:row>
    <x:row r="20" ht="94" customHeight="1">
      <x:c r="A20" s="109" t="str">
        <x:v>C4</x:v>
      </x:c>
      <x:c r="B20" s="109" t="str">
        <x:v>Maternal psychiatric vulnerability</x:v>
      </x:c>
      <x:c r="C20" s="109" t="str">
        <x:v>GPT5.5-A</x:v>
      </x:c>
      <x:c r="D20" s="127" t="n">
        <x:v>1</x:v>
      </x:c>
      <x:c r="E20" s="109" t="str">
        <x:v>maternal anxiety disorder before first paracetamol use in pregnancy</x:v>
      </x:c>
      <x:c r="F20" s="109" t="str">
        <x:v>ASD</x:v>
      </x:c>
      <x:c r="G20" s="109" t="str">
        <x:v>pre_exposure</x:v>
      </x:c>
      <x:c r="H20" s="109" t="str">
        <x:v>confounder</x:v>
      </x:c>
      <x:c r="I20" s="109" t="str">
        <x:v>historical_induction/raw_candidate_runs/runs_v2_openai/v2_gpt-5.5_A.json#variables[12]</x:v>
      </x:c>
      <x:c r="J2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0" s="109" t="str">
        <x:v/>
      </x:c>
      <x:c r="L20" s="109"/>
    </x:row>
    <x:row r="21" ht="94" customHeight="1">
      <x:c r="A21" s="109" t="str">
        <x:v>D4</x:v>
      </x:c>
      <x:c r="B21" s="109" t="str">
        <x:v>Maternal psychiatric vulnerability</x:v>
      </x:c>
      <x:c r="C21" s="109" t="str">
        <x:v>GPT5.5-B</x:v>
      </x:c>
      <x:c r="D21" s="127" t="n">
        <x:v>1</x:v>
      </x:c>
      <x:c r="E21" s="109" t="str">
        <x:v>maternal anxiety disorder before pregnancy</x:v>
      </x:c>
      <x:c r="F21" s="109" t="str">
        <x:v>ASD</x:v>
      </x:c>
      <x:c r="G21" s="109" t="str">
        <x:v>pre_exposure</x:v>
      </x:c>
      <x:c r="H21" s="109" t="str">
        <x:v>confounder</x:v>
      </x:c>
      <x:c r="I21" s="109" t="str">
        <x:v>historical_induction/raw_candidate_runs/runs_v2_openai/v2_gpt-5.5_B.json#variables[11]</x:v>
      </x:c>
      <x:c r="J2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1" s="109" t="str">
        <x:v/>
      </x:c>
      <x:c r="L21" s="109"/>
    </x:row>
    <x:row r="22" ht="94" customHeight="1">
      <x:c r="A22" s="109" t="str">
        <x:v>E4</x:v>
      </x:c>
      <x:c r="B22" s="109" t="str">
        <x:v>Maternal psychiatric vulnerability</x:v>
      </x:c>
      <x:c r="C22" s="109" t="str">
        <x:v>GPT5.5-C</x:v>
      </x:c>
      <x:c r="D22" s="127" t="n">
        <x:v>1</x:v>
      </x:c>
      <x:c r="E22" s="109" t="str">
        <x:v>maternal anxiety disorder before or early in pregnancy</x:v>
      </x:c>
      <x:c r="F22" s="109" t="str">
        <x:v>ADHD</x:v>
      </x:c>
      <x:c r="G22" s="109" t="str">
        <x:v>pre_exposure</x:v>
      </x:c>
      <x:c r="H22" s="109" t="str">
        <x:v>confounder</x:v>
      </x:c>
      <x:c r="I22" s="109" t="str">
        <x:v>historical_induction/raw_candidate_runs/runs_v2_openai_adhd/v2_gpt-5.5_C.json#variables[46]</x:v>
      </x:c>
      <x:c r="J2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2" s="109" t="str">
        <x:v/>
      </x:c>
      <x:c r="L22" s="109"/>
    </x:row>
    <x:row r="23" ht="94" customHeight="1">
      <x:c r="A23" s="109" t="str">
        <x:v>F4</x:v>
      </x:c>
      <x:c r="B23" s="109" t="str">
        <x:v>Maternal psychiatric vulnerability</x:v>
      </x:c>
      <x:c r="C23" s="109" t="str">
        <x:v>DeepSeekV4-A</x:v>
      </x:c>
      <x:c r="D23" s="127" t="n">
        <x:v>1</x:v>
      </x:c>
      <x:c r="E23" s="109" t="str">
        <x:v>Maternal anxiety before or during pregnancy</x:v>
      </x:c>
      <x:c r="F23" s="109" t="str">
        <x:v>ASD</x:v>
      </x:c>
      <x:c r="G23" s="109" t="str">
        <x:v>pre_exposure</x:v>
      </x:c>
      <x:c r="H23" s="109" t="str">
        <x:v>confounder</x:v>
      </x:c>
      <x:c r="I23" s="109" t="str">
        <x:v>historical_induction/raw_candidate_runs/runs_v2_deepseek/v2_deepseek-v4-pro_A.json#variables[16]</x:v>
      </x:c>
      <x:c r="J2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3" s="109" t="str">
        <x:v/>
      </x:c>
      <x:c r="L23" s="109"/>
    </x:row>
    <x:row r="24" ht="94" customHeight="1">
      <x:c r="A24" s="109" t="str">
        <x:v>G4</x:v>
      </x:c>
      <x:c r="B24" s="109" t="str">
        <x:v>Maternal psychiatric vulnerability</x:v>
      </x:c>
      <x:c r="C24" s="109" t="str">
        <x:v>DeepSeekV4-B</x:v>
      </x:c>
      <x:c r="D24" s="127" t="n">
        <x:v>1</x:v>
      </x:c>
      <x:c r="E24" s="109" t="str">
        <x:v>Maternal depression/anxiety during pregnancy</x:v>
      </x:c>
      <x:c r="F24" s="109" t="str">
        <x:v>ASD</x:v>
      </x:c>
      <x:c r="G24" s="109" t="str">
        <x:v>pre_exposure</x:v>
      </x:c>
      <x:c r="H24" s="109" t="str">
        <x:v>confounder</x:v>
      </x:c>
      <x:c r="I24" s="109" t="str">
        <x:v>historical_induction/raw_candidate_runs/runs_v2_deepseek/v2_deepseek-v4-pro_B.json#variables[15]</x:v>
      </x:c>
      <x:c r="J2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4" s="109" t="str">
        <x:v/>
      </x:c>
      <x:c r="L24" s="109"/>
    </x:row>
    <x:row r="25" ht="94" customHeight="1">
      <x:c r="A25" s="109" t="str">
        <x:v>H4</x:v>
      </x:c>
      <x:c r="B25" s="109" t="str">
        <x:v>Maternal psychiatric vulnerability</x:v>
      </x:c>
      <x:c r="C25" s="109" t="str">
        <x:v>DeepSeekV4-C</x:v>
      </x:c>
      <x:c r="D25" s="127" t="n">
        <x:v>1</x:v>
      </x:c>
      <x:c r="E25" s="109" t="str">
        <x:v>Maternal anxiety history</x:v>
      </x:c>
      <x:c r="F25" s="109" t="str">
        <x:v>ASD</x:v>
      </x:c>
      <x:c r="G25" s="109" t="str">
        <x:v>pre_exposure</x:v>
      </x:c>
      <x:c r="H25" s="109" t="str">
        <x:v>confounder</x:v>
      </x:c>
      <x:c r="I25" s="109" t="str">
        <x:v>historical_induction/raw_candidate_runs/runs_v2_deepseek/v2_deepseek-v4-pro_C.json#variables[7]</x:v>
      </x:c>
      <x:c r="J2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5" s="109" t="str">
        <x:v/>
      </x:c>
      <x:c r="L25" s="109"/>
    </x:row>
    <x:row r="26" ht="94" customHeight="1">
      <x:c r="A26" s="109" t="str">
        <x:v>I4</x:v>
      </x:c>
      <x:c r="B26" s="109" t="str">
        <x:v>Maternal psychiatric vulnerability</x:v>
      </x:c>
      <x:c r="C26" s="109" t="str">
        <x:v>Gemini3.1-A</x:v>
      </x:c>
      <x:c r="D26" s="127" t="n">
        <x:v>1</x:v>
      </x:c>
      <x:c r="E26" s="109" t="str">
        <x:v>maternal psychiatric history</x:v>
      </x:c>
      <x:c r="F26" s="109" t="str">
        <x:v>ASD</x:v>
      </x:c>
      <x:c r="G26" s="109" t="str">
        <x:v>pre_exposure</x:v>
      </x:c>
      <x:c r="H26" s="109" t="str">
        <x:v>confounder</x:v>
      </x:c>
      <x:c r="I26" s="109" t="str">
        <x:v>historical_induction/raw_candidate_runs/runs_v2_gemini/v2_gemini-3.1-pro-preview_A.json#variables[4]</x:v>
      </x:c>
      <x:c r="J2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6" s="109" t="str">
        <x:v/>
      </x:c>
      <x:c r="L26" s="109"/>
    </x:row>
    <x:row r="27" ht="94" customHeight="1">
      <x:c r="A27" s="109" t="str">
        <x:v>J4</x:v>
      </x:c>
      <x:c r="B27" s="109" t="str">
        <x:v>Maternal psychiatric vulnerability</x:v>
      </x:c>
      <x:c r="C27" s="109" t="str">
        <x:v>Gemini3.1-B</x:v>
      </x:c>
      <x:c r="D27" s="127" t="n">
        <x:v>1</x:v>
      </x:c>
      <x:c r="E27" s="109" t="str">
        <x:v>Maternal psychiatric disorders (e.g., depression, anxiety)</x:v>
      </x:c>
      <x:c r="F27" s="109" t="str">
        <x:v>ADHD</x:v>
      </x:c>
      <x:c r="G27" s="109" t="str">
        <x:v>pre_exposure</x:v>
      </x:c>
      <x:c r="H27" s="109" t="str">
        <x:v>confounder</x:v>
      </x:c>
      <x:c r="I27" s="109" t="str">
        <x:v>historical_induction/raw_candidate_runs/runs_v2_gemini_adhd/v2_gemini-3.1-pro-preview_B.json#variables[14]</x:v>
      </x:c>
      <x:c r="J2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7" s="109" t="str">
        <x:v/>
      </x:c>
      <x:c r="L27" s="109"/>
    </x:row>
    <x:row r="28" ht="94" customHeight="1">
      <x:c r="A28" s="109" t="str">
        <x:v>K4</x:v>
      </x:c>
      <x:c r="B28" s="109" t="str">
        <x:v>Maternal psychiatric vulnerability</x:v>
      </x:c>
      <x:c r="C28" s="109" t="str">
        <x:v>Gemini3.1-C</x:v>
      </x:c>
      <x:c r="D28" s="127" t="n">
        <x:v>1</x:v>
      </x:c>
      <x:c r="E28" s="109" t="str">
        <x:v>Maternal psychiatric history (e.g., depression, anxiety)</x:v>
      </x:c>
      <x:c r="F28" s="109" t="str">
        <x:v>ASD</x:v>
      </x:c>
      <x:c r="G28" s="109" t="str">
        <x:v>pre_exposure</x:v>
      </x:c>
      <x:c r="H28" s="109" t="str">
        <x:v>confounder</x:v>
      </x:c>
      <x:c r="I28" s="109" t="str">
        <x:v>historical_induction/raw_candidate_runs/runs_v2_gemini/v2_gemini-3.1-pro-preview_C.json#variables[9]</x:v>
      </x:c>
      <x:c r="J2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8" s="109" t="str">
        <x:v/>
      </x:c>
      <x:c r="L28" s="109"/>
    </x:row>
    <x:row r="29" ht="94" customHeight="1">
      <x:c r="A29" s="109" t="str">
        <x:v>C5</x:v>
      </x:c>
      <x:c r="B29" s="109" t="str">
        <x:v>Acute infection/fever indication</x:v>
      </x:c>
      <x:c r="C29" s="109" t="str">
        <x:v>GPT5.5-A</x:v>
      </x:c>
      <x:c r="D29" s="127" t="n">
        <x:v>1</x:v>
      </x:c>
      <x:c r="E29" s="109" t="str">
        <x:v>maternal fever before first acetaminophen use in pregnancy</x:v>
      </x:c>
      <x:c r="F29" s="109" t="str">
        <x:v>ADHD</x:v>
      </x:c>
      <x:c r="G29" s="109" t="str">
        <x:v>pre_exposure</x:v>
      </x:c>
      <x:c r="H29" s="109" t="str">
        <x:v>confounder</x:v>
      </x:c>
      <x:c r="I29" s="109" t="str">
        <x:v>historical_induction/raw_candidate_runs/runs_v2_openai_adhd/v2_gpt-5.5_A.json#variables[63]</x:v>
      </x:c>
      <x:c r="J2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29" s="109" t="str">
        <x:v/>
      </x:c>
      <x:c r="L29" s="109"/>
    </x:row>
    <x:row r="30" ht="94" customHeight="1">
      <x:c r="A30" s="109" t="str">
        <x:v>D5</x:v>
      </x:c>
      <x:c r="B30" s="109" t="str">
        <x:v>Acute infection/fever indication</x:v>
      </x:c>
      <x:c r="C30" s="109" t="str">
        <x:v>GPT5.5-B</x:v>
      </x:c>
      <x:c r="D30" s="127" t="n">
        <x:v>1</x:v>
      </x:c>
      <x:c r="E30" s="109" t="str">
        <x:v>maternal fever before paracetamol initiation</x:v>
      </x:c>
      <x:c r="F30" s="109" t="str">
        <x:v>ADHD</x:v>
      </x:c>
      <x:c r="G30" s="109" t="str">
        <x:v>pre_exposure</x:v>
      </x:c>
      <x:c r="H30" s="109" t="str">
        <x:v>confounder</x:v>
      </x:c>
      <x:c r="I30" s="109" t="str">
        <x:v>historical_induction/raw_candidate_runs/runs_v2_openai_adhd/v2_gpt-5.5_B.json#variables[54]</x:v>
      </x:c>
      <x:c r="J3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0" s="109" t="str">
        <x:v/>
      </x:c>
      <x:c r="L30" s="109"/>
    </x:row>
    <x:row r="31" ht="94" customHeight="1">
      <x:c r="A31" s="109" t="str">
        <x:v>E5</x:v>
      </x:c>
      <x:c r="B31" s="109" t="str">
        <x:v>Acute infection/fever indication</x:v>
      </x:c>
      <x:c r="C31" s="109" t="str">
        <x:v>GPT5.5-C</x:v>
      </x:c>
      <x:c r="D31" s="127" t="n">
        <x:v>1</x:v>
      </x:c>
      <x:c r="E31" s="109" t="str">
        <x:v>SARS-CoV-2 infection during pregnancy before paracetamol use</x:v>
      </x:c>
      <x:c r="F31" s="109" t="str">
        <x:v>ASD</x:v>
      </x:c>
      <x:c r="G31" s="109" t="str">
        <x:v>pre_exposure</x:v>
      </x:c>
      <x:c r="H31" s="109" t="str">
        <x:v>confounder</x:v>
      </x:c>
      <x:c r="I31" s="109" t="str">
        <x:v>historical_induction/raw_candidate_runs/runs_v2_openai/v2_gpt-5.5_C.json#variables[2]</x:v>
      </x:c>
      <x:c r="J3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1" s="109" t="str">
        <x:v/>
      </x:c>
      <x:c r="L31" s="109"/>
    </x:row>
    <x:row r="32" ht="94" customHeight="1">
      <x:c r="A32" s="109" t="str">
        <x:v>F5</x:v>
      </x:c>
      <x:c r="B32" s="109" t="str">
        <x:v>Acute infection/fever indication</x:v>
      </x:c>
      <x:c r="C32" s="109" t="str">
        <x:v>DeepSeekV4-A</x:v>
      </x:c>
      <x:c r="D32" s="127" t="n">
        <x:v>1</x:v>
      </x:c>
      <x:c r="E32" s="109" t="str">
        <x:v>Maternal fever during pregnancy before paracetamol use</x:v>
      </x:c>
      <x:c r="F32" s="109" t="str">
        <x:v>ASD</x:v>
      </x:c>
      <x:c r="G32" s="109" t="str">
        <x:v>pre_exposure</x:v>
      </x:c>
      <x:c r="H32" s="109" t="str">
        <x:v>confounder</x:v>
      </x:c>
      <x:c r="I32" s="109" t="str">
        <x:v>historical_induction/raw_candidate_runs/runs_v2_deepseek/v2_deepseek-v4-pro_A.json#variables[27]</x:v>
      </x:c>
      <x:c r="J3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2" s="109" t="str">
        <x:v/>
      </x:c>
      <x:c r="L32" s="109"/>
    </x:row>
    <x:row r="33" ht="94" customHeight="1">
      <x:c r="A33" s="109" t="str">
        <x:v>G5</x:v>
      </x:c>
      <x:c r="B33" s="109" t="str">
        <x:v>Acute infection/fever indication</x:v>
      </x:c>
      <x:c r="C33" s="109" t="str">
        <x:v>DeepSeekV4-B</x:v>
      </x:c>
      <x:c r="D33" s="127" t="n">
        <x:v>1</x:v>
      </x:c>
      <x:c r="E33" s="109" t="str">
        <x:v>Maternal fever during pregnancy</x:v>
      </x:c>
      <x:c r="F33" s="109" t="str">
        <x:v>ASD</x:v>
      </x:c>
      <x:c r="G33" s="109" t="str">
        <x:v>pre_exposure</x:v>
      </x:c>
      <x:c r="H33" s="109" t="str">
        <x:v>confounder</x:v>
      </x:c>
      <x:c r="I33" s="109" t="str">
        <x:v>historical_induction/raw_candidate_runs/runs_v2_deepseek/v2_deepseek-v4-pro_B.json#variables[28]</x:v>
      </x:c>
      <x:c r="J3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3" s="109" t="str">
        <x:v/>
      </x:c>
      <x:c r="L33" s="109"/>
    </x:row>
    <x:row r="34" ht="94" customHeight="1">
      <x:c r="A34" s="109" t="str">
        <x:v>H5</x:v>
      </x:c>
      <x:c r="B34" s="109" t="str">
        <x:v>Acute infection/fever indication</x:v>
      </x:c>
      <x:c r="C34" s="109" t="str">
        <x:v>DeepSeekV4-C</x:v>
      </x:c>
      <x:c r="D34" s="127" t="n">
        <x:v>1</x:v>
      </x:c>
      <x:c r="E34" s="109" t="str">
        <x:v>Maternal infection with fever in early pregnancy</x:v>
      </x:c>
      <x:c r="F34" s="109" t="str">
        <x:v>ASD</x:v>
      </x:c>
      <x:c r="G34" s="109" t="str">
        <x:v>pre_exposure</x:v>
      </x:c>
      <x:c r="H34" s="109" t="str">
        <x:v>confounder</x:v>
      </x:c>
      <x:c r="I34" s="109" t="str">
        <x:v>historical_induction/raw_candidate_runs/runs_v2_deepseek/v2_deepseek-v4-pro_C.json#variables[11]</x:v>
      </x:c>
      <x:c r="J3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4" s="109" t="str">
        <x:v/>
      </x:c>
      <x:c r="L34" s="109"/>
    </x:row>
    <x:row r="35" ht="94" customHeight="1">
      <x:c r="A35" s="109" t="str">
        <x:v>I5</x:v>
      </x:c>
      <x:c r="B35" s="109" t="str">
        <x:v>Acute infection/fever indication</x:v>
      </x:c>
      <x:c r="C35" s="109" t="str">
        <x:v>Gemini3.1-A</x:v>
      </x:c>
      <x:c r="D35" s="127" t="n">
        <x:v>1</x:v>
      </x:c>
      <x:c r="E35" s="109" t="str">
        <x:v>Maternal acute infection or fever during pregnancy</x:v>
      </x:c>
      <x:c r="F35" s="109" t="str">
        <x:v>ADHD</x:v>
      </x:c>
      <x:c r="G35" s="109" t="str">
        <x:v>pre_exposure</x:v>
      </x:c>
      <x:c r="H35" s="109" t="str">
        <x:v>confounder</x:v>
      </x:c>
      <x:c r="I35" s="109" t="str">
        <x:v>historical_induction/raw_candidate_runs/runs_v2_gemini_adhd/v2_gemini-3.1-pro-preview_A.json#variables[1]</x:v>
      </x:c>
      <x:c r="J3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5" s="109" t="str">
        <x:v/>
      </x:c>
      <x:c r="L35" s="109"/>
    </x:row>
    <x:row r="36" ht="94" customHeight="1">
      <x:c r="A36" s="109" t="str">
        <x:v>J5</x:v>
      </x:c>
      <x:c r="B36" s="109" t="str">
        <x:v>Acute infection/fever indication</x:v>
      </x:c>
      <x:c r="C36" s="109" t="str">
        <x:v>Gemini3.1-B</x:v>
      </x:c>
      <x:c r="D36" s="127" t="n">
        <x:v>1</x:v>
      </x:c>
      <x:c r="E36" s="109" t="str">
        <x:v>Maternal fever during pregnancy</x:v>
      </x:c>
      <x:c r="F36" s="109" t="str">
        <x:v>ASD</x:v>
      </x:c>
      <x:c r="G36" s="109" t="str">
        <x:v>pre_exposure</x:v>
      </x:c>
      <x:c r="H36" s="109" t="str">
        <x:v>confounder</x:v>
      </x:c>
      <x:c r="I36" s="109" t="str">
        <x:v>historical_induction/raw_candidate_runs/runs_v2_gemini/v2_gemini-3.1-pro-preview_B.json#variables[0]</x:v>
      </x:c>
      <x:c r="J3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6" s="109" t="str">
        <x:v/>
      </x:c>
      <x:c r="L36" s="109"/>
    </x:row>
    <x:row r="37" ht="94" customHeight="1">
      <x:c r="A37" s="109" t="str">
        <x:v>K5</x:v>
      </x:c>
      <x:c r="B37" s="109" t="str">
        <x:v>Acute infection/fever indication</x:v>
      </x:c>
      <x:c r="C37" s="109" t="str">
        <x:v>Gemini3.1-C</x:v>
      </x:c>
      <x:c r="D37" s="127" t="n">
        <x:v>1</x:v>
      </x:c>
      <x:c r="E37" s="109" t="str">
        <x:v>Maternal fever during pregnancy</x:v>
      </x:c>
      <x:c r="F37" s="109" t="str">
        <x:v>ASD</x:v>
      </x:c>
      <x:c r="G37" s="109" t="str">
        <x:v>pre_exposure</x:v>
      </x:c>
      <x:c r="H37" s="109" t="str">
        <x:v>confounder</x:v>
      </x:c>
      <x:c r="I37" s="109" t="str">
        <x:v>historical_induction/raw_candidate_runs/runs_v2_gemini/v2_gemini-3.1-pro-preview_C.json#variables[0]</x:v>
      </x:c>
      <x:c r="J3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7" s="109" t="str">
        <x:v/>
      </x:c>
      <x:c r="L37" s="109"/>
    </x:row>
    <x:row r="38" ht="94" customHeight="1">
      <x:c r="A38" s="109" t="str">
        <x:v>C6</x:v>
      </x:c>
      <x:c r="B38" s="109" t="str">
        <x:v>Pain/headache/migraine indication</x:v>
      </x:c>
      <x:c r="C38" s="109" t="str">
        <x:v>GPT5.5-A</x:v>
      </x:c>
      <x:c r="D38" s="127" t="n">
        <x:v>1</x:v>
      </x:c>
      <x:c r="E38" s="109" t="str">
        <x:v>maternal chronic back pain before first paracetamol use in pregnancy</x:v>
      </x:c>
      <x:c r="F38" s="109" t="str">
        <x:v>ASD</x:v>
      </x:c>
      <x:c r="G38" s="109" t="str">
        <x:v>pre_exposure</x:v>
      </x:c>
      <x:c r="H38" s="109" t="str">
        <x:v>confounder</x:v>
      </x:c>
      <x:c r="I38" s="109" t="str">
        <x:v>historical_induction/raw_candidate_runs/runs_v2_openai/v2_gpt-5.5_A.json#variables[62]</x:v>
      </x:c>
      <x:c r="J3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8" s="109" t="str">
        <x:v/>
      </x:c>
      <x:c r="L38" s="109"/>
    </x:row>
    <x:row r="39" ht="94" customHeight="1">
      <x:c r="A39" s="109" t="str">
        <x:v>D6</x:v>
      </x:c>
      <x:c r="B39" s="109" t="str">
        <x:v>Pain/headache/migraine indication</x:v>
      </x:c>
      <x:c r="C39" s="109" t="str">
        <x:v>GPT5.5-B</x:v>
      </x:c>
      <x:c r="D39" s="127" t="n">
        <x:v>1</x:v>
      </x:c>
      <x:c r="E39" s="109" t="str">
        <x:v>maternal back pain before paracetamol initiation</x:v>
      </x:c>
      <x:c r="F39" s="109" t="str">
        <x:v>ADHD</x:v>
      </x:c>
      <x:c r="G39" s="109" t="str">
        <x:v>pre_exposure</x:v>
      </x:c>
      <x:c r="H39" s="109" t="str">
        <x:v>confounder</x:v>
      </x:c>
      <x:c r="I39" s="109" t="str">
        <x:v>historical_induction/raw_candidate_runs/runs_v2_openai_adhd/v2_gpt-5.5_B.json#variables[50]</x:v>
      </x:c>
      <x:c r="J3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39" s="109" t="str">
        <x:v/>
      </x:c>
      <x:c r="L39" s="109"/>
    </x:row>
    <x:row r="40" ht="94" customHeight="1">
      <x:c r="A40" s="109" t="str">
        <x:v>E6</x:v>
      </x:c>
      <x:c r="B40" s="109" t="str">
        <x:v>Pain/headache/migraine indication</x:v>
      </x:c>
      <x:c r="C40" s="109" t="str">
        <x:v>GPT5.5-C</x:v>
      </x:c>
      <x:c r="D40" s="127" t="n">
        <x:v>1</x:v>
      </x:c>
      <x:c r="E40" s="109" t="str">
        <x:v>back pain before paracetamol use in pregnancy</x:v>
      </x:c>
      <x:c r="F40" s="109" t="str">
        <x:v>ASD</x:v>
      </x:c>
      <x:c r="G40" s="109" t="str">
        <x:v>pre_exposure</x:v>
      </x:c>
      <x:c r="H40" s="109" t="str">
        <x:v>confounder</x:v>
      </x:c>
      <x:c r="I40" s="109" t="str">
        <x:v>historical_induction/raw_candidate_runs/runs_v2_openai/v2_gpt-5.5_C.json#variables[14]</x:v>
      </x:c>
      <x:c r="J4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0" s="109" t="str">
        <x:v/>
      </x:c>
      <x:c r="L40" s="109"/>
    </x:row>
    <x:row r="41" ht="94" customHeight="1">
      <x:c r="A41" s="109" t="str">
        <x:v>F6</x:v>
      </x:c>
      <x:c r="B41" s="109" t="str">
        <x:v>Pain/headache/migraine indication</x:v>
      </x:c>
      <x:c r="C41" s="109" t="str">
        <x:v>DeepSeekV4-A</x:v>
      </x:c>
      <x:c r="D41" s="127" t="n">
        <x:v>1</x:v>
      </x:c>
      <x:c r="E41" s="109" t="str">
        <x:v>Maternal back pain or pelvic girdle pain</x:v>
      </x:c>
      <x:c r="F41" s="109" t="str">
        <x:v>ASD</x:v>
      </x:c>
      <x:c r="G41" s="109" t="str">
        <x:v>pre_exposure</x:v>
      </x:c>
      <x:c r="H41" s="109" t="str">
        <x:v>confounder</x:v>
      </x:c>
      <x:c r="I41" s="109" t="str">
        <x:v>historical_induction/raw_candidate_runs/runs_v2_deepseek/v2_deepseek-v4-pro_A.json#variables[29]</x:v>
      </x:c>
      <x:c r="J4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1" s="109" t="str">
        <x:v/>
      </x:c>
      <x:c r="L41" s="109"/>
    </x:row>
    <x:row r="42" ht="94" customHeight="1">
      <x:c r="A42" s="109" t="str">
        <x:v>G6</x:v>
      </x:c>
      <x:c r="B42" s="109" t="str">
        <x:v>Pain/headache/migraine indication</x:v>
      </x:c>
      <x:c r="C42" s="109" t="str">
        <x:v>DeepSeekV4-B</x:v>
      </x:c>
      <x:c r="D42" s="127" t="n">
        <x:v>1</x:v>
      </x:c>
      <x:c r="E42" s="109" t="str">
        <x:v>Maternal chronic pain condition</x:v>
      </x:c>
      <x:c r="F42" s="109" t="str">
        <x:v>ASD</x:v>
      </x:c>
      <x:c r="G42" s="109" t="str">
        <x:v>pre_exposure</x:v>
      </x:c>
      <x:c r="H42" s="109" t="str">
        <x:v>confounder</x:v>
      </x:c>
      <x:c r="I42" s="109" t="str">
        <x:v>historical_induction/raw_candidate_runs/runs_v2_deepseek/v2_deepseek-v4-pro_B.json#variables[14]</x:v>
      </x:c>
      <x:c r="J4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2" s="109" t="str">
        <x:v/>
      </x:c>
      <x:c r="L42" s="109"/>
    </x:row>
    <x:row r="43" ht="94" customHeight="1">
      <x:c r="A43" s="109" t="str">
        <x:v>H6</x:v>
      </x:c>
      <x:c r="B43" s="109" t="str">
        <x:v>Pain/headache/migraine indication</x:v>
      </x:c>
      <x:c r="C43" s="109" t="str">
        <x:v>DeepSeekV4-C</x:v>
      </x:c>
      <x:c r="D43" s="127" t="n">
        <x:v>1</x:v>
      </x:c>
      <x:c r="E43" s="109" t="str">
        <x:v>Maternal chronic pain condition (e.g., migraine)</x:v>
      </x:c>
      <x:c r="F43" s="109" t="str">
        <x:v>ASD</x:v>
      </x:c>
      <x:c r="G43" s="109" t="str">
        <x:v>pre_exposure</x:v>
      </x:c>
      <x:c r="H43" s="109" t="str">
        <x:v>confounder</x:v>
      </x:c>
      <x:c r="I43" s="109" t="str">
        <x:v>historical_induction/raw_candidate_runs/runs_v2_deepseek/v2_deepseek-v4-pro_C.json#variables[14]</x:v>
      </x:c>
      <x:c r="J4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3" s="109" t="str">
        <x:v/>
      </x:c>
      <x:c r="L43" s="109"/>
    </x:row>
    <x:row r="44" ht="94" customHeight="1">
      <x:c r="A44" s="109" t="str">
        <x:v>I6</x:v>
      </x:c>
      <x:c r="B44" s="109" t="str">
        <x:v>Pain/headache/migraine indication</x:v>
      </x:c>
      <x:c r="C44" s="109" t="str">
        <x:v>Gemini3.1-A</x:v>
      </x:c>
      <x:c r="D44" s="127" t="n">
        <x:v>1</x:v>
      </x:c>
      <x:c r="E44" s="109" t="str">
        <x:v>Maternal chronic pain conditions (e.g., migraines, back pain)</x:v>
      </x:c>
      <x:c r="F44" s="109" t="str">
        <x:v>ADHD</x:v>
      </x:c>
      <x:c r="G44" s="109" t="str">
        <x:v>pre_exposure</x:v>
      </x:c>
      <x:c r="H44" s="109" t="str">
        <x:v>confounder</x:v>
      </x:c>
      <x:c r="I44" s="109" t="str">
        <x:v>historical_induction/raw_candidate_runs/runs_v2_gemini_adhd/v2_gemini-3.1-pro-preview_A.json#variables[0]</x:v>
      </x:c>
      <x:c r="J4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4" s="109" t="str">
        <x:v/>
      </x:c>
      <x:c r="L44" s="109"/>
    </x:row>
    <x:row r="45" ht="94" customHeight="1">
      <x:c r="A45" s="109" t="str">
        <x:v>J6</x:v>
      </x:c>
      <x:c r="B45" s="109" t="str">
        <x:v>Pain/headache/migraine indication</x:v>
      </x:c>
      <x:c r="C45" s="109" t="str">
        <x:v>Gemini3.1-B</x:v>
      </x:c>
      <x:c r="D45" s="127" t="n">
        <x:v>1</x:v>
      </x:c>
      <x:c r="E45" s="109" t="str">
        <x:v>Maternal chronic pain conditions</x:v>
      </x:c>
      <x:c r="F45" s="109" t="str">
        <x:v>ASD</x:v>
      </x:c>
      <x:c r="G45" s="109" t="str">
        <x:v>pre_exposure</x:v>
      </x:c>
      <x:c r="H45" s="109" t="str">
        <x:v>confounder</x:v>
      </x:c>
      <x:c r="I45" s="109" t="str">
        <x:v>historical_induction/raw_candidate_runs/runs_v2_gemini/v2_gemini-3.1-pro-preview_B.json#variables[1]</x:v>
      </x:c>
      <x:c r="J4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5" s="109" t="str">
        <x:v/>
      </x:c>
      <x:c r="L45" s="109"/>
    </x:row>
    <x:row r="46" ht="94" customHeight="1">
      <x:c r="A46" s="109" t="str">
        <x:v>K6</x:v>
      </x:c>
      <x:c r="B46" s="109" t="str">
        <x:v>Pain/headache/migraine indication</x:v>
      </x:c>
      <x:c r="C46" s="109" t="str">
        <x:v>Gemini3.1-C</x:v>
      </x:c>
      <x:c r="D46" s="127" t="n">
        <x:v>1</x:v>
      </x:c>
      <x:c r="E46" s="109" t="str">
        <x:v>Maternal chronic pain conditions</x:v>
      </x:c>
      <x:c r="F46" s="109" t="str">
        <x:v>ADHD</x:v>
      </x:c>
      <x:c r="G46" s="109" t="str">
        <x:v>pre_exposure</x:v>
      </x:c>
      <x:c r="H46" s="109" t="str">
        <x:v>confounder</x:v>
      </x:c>
      <x:c r="I46" s="109" t="str">
        <x:v>historical_induction/raw_candidate_runs/runs_v2_gemini_adhd/v2_gemini-3.1-pro-preview_C.json#variables[5]</x:v>
      </x:c>
      <x:c r="J4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6" s="109" t="str">
        <x:v/>
      </x:c>
      <x:c r="L46" s="109"/>
    </x:row>
    <x:row r="47" ht="94" customHeight="1">
      <x:c r="A47" s="109" t="str">
        <x:v>C7</x:v>
      </x:c>
      <x:c r="B47" s="109" t="str">
        <x:v>Chronic maternal medical conditions</x:v>
      </x:c>
      <x:c r="C47" s="109" t="str">
        <x:v>GPT5.5-A</x:v>
      </x:c>
      <x:c r="D47" s="127" t="n">
        <x:v>1</x:v>
      </x:c>
      <x:c r="E47" s="109" t="str">
        <x:v>maternal arthritis before first paracetamol use in pregnancy</x:v>
      </x:c>
      <x:c r="F47" s="109" t="str">
        <x:v>ASD</x:v>
      </x:c>
      <x:c r="G47" s="109" t="str">
        <x:v>pre_exposure</x:v>
      </x:c>
      <x:c r="H47" s="109" t="str">
        <x:v>confounder</x:v>
      </x:c>
      <x:c r="I47" s="109" t="str">
        <x:v>historical_induction/raw_candidate_runs/runs_v2_openai/v2_gpt-5.5_A.json#variables[64]</x:v>
      </x:c>
      <x:c r="J4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7" s="109" t="str">
        <x:v/>
      </x:c>
      <x:c r="L47" s="109"/>
    </x:row>
    <x:row r="48" ht="94" customHeight="1">
      <x:c r="A48" s="109" t="str">
        <x:v>D7</x:v>
      </x:c>
      <x:c r="B48" s="109" t="str">
        <x:v>Chronic maternal medical conditions</x:v>
      </x:c>
      <x:c r="C48" s="109" t="str">
        <x:v>GPT5.5-B</x:v>
      </x:c>
      <x:c r="D48" s="127" t="n">
        <x:v>1</x:v>
      </x:c>
      <x:c r="E48" s="109" t="str">
        <x:v>maternal arthritis or rheumatic disease before pregnancy</x:v>
      </x:c>
      <x:c r="F48" s="109" t="str">
        <x:v>ADHD</x:v>
      </x:c>
      <x:c r="G48" s="109" t="str">
        <x:v>pre_exposure</x:v>
      </x:c>
      <x:c r="H48" s="109" t="str">
        <x:v>confounder</x:v>
      </x:c>
      <x:c r="I48" s="109" t="str">
        <x:v>historical_induction/raw_candidate_runs/runs_v2_openai_adhd/v2_gpt-5.5_B.json#variables[49]</x:v>
      </x:c>
      <x:c r="J4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8" s="109" t="str">
        <x:v/>
      </x:c>
      <x:c r="L48" s="109"/>
    </x:row>
    <x:row r="49" ht="94" customHeight="1">
      <x:c r="A49" s="109" t="str">
        <x:v>E7</x:v>
      </x:c>
      <x:c r="B49" s="109" t="str">
        <x:v>Chronic maternal medical conditions</x:v>
      </x:c>
      <x:c r="C49" s="109" t="str">
        <x:v>GPT5.5-C</x:v>
      </x:c>
      <x:c r="D49" s="127" t="n">
        <x:v>1</x:v>
      </x:c>
      <x:c r="E49" s="109" t="str">
        <x:v>maternal arthritis or chronic joint disease</x:v>
      </x:c>
      <x:c r="F49" s="109" t="str">
        <x:v>ADHD</x:v>
      </x:c>
      <x:c r="G49" s="109" t="str">
        <x:v>pre_exposure</x:v>
      </x:c>
      <x:c r="H49" s="109" t="str">
        <x:v>confounder</x:v>
      </x:c>
      <x:c r="I49" s="109" t="str">
        <x:v>historical_induction/raw_candidate_runs/runs_v2_openai_adhd/v2_gpt-5.5_C.json#variables[65]</x:v>
      </x:c>
      <x:c r="J4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49" s="109" t="str">
        <x:v/>
      </x:c>
      <x:c r="L49" s="109"/>
    </x:row>
    <x:row r="50" ht="94" customHeight="1">
      <x:c r="A50" s="109" t="str">
        <x:v>F7</x:v>
      </x:c>
      <x:c r="B50" s="109" t="str">
        <x:v>Chronic maternal medical conditions</x:v>
      </x:c>
      <x:c r="C50" s="109" t="str">
        <x:v>DeepSeekV4-A</x:v>
      </x:c>
      <x:c r="D50" s="127" t="n">
        <x:v>1</x:v>
      </x:c>
      <x:c r="E50" s="109" t="str">
        <x:v>Maternal autoimmune disease</x:v>
      </x:c>
      <x:c r="F50" s="109" t="str">
        <x:v>ASD</x:v>
      </x:c>
      <x:c r="G50" s="109" t="str">
        <x:v>pre_exposure</x:v>
      </x:c>
      <x:c r="H50" s="109" t="str">
        <x:v>confounder</x:v>
      </x:c>
      <x:c r="I50" s="109" t="str">
        <x:v>historical_induction/raw_candidate_runs/runs_v2_deepseek/v2_deepseek-v4-pro_A.json#variables[18]</x:v>
      </x:c>
      <x:c r="J5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0" s="109" t="str">
        <x:v/>
      </x:c>
      <x:c r="L50" s="109"/>
    </x:row>
    <x:row r="51" ht="94" customHeight="1">
      <x:c r="A51" s="109" t="str">
        <x:v>G7</x:v>
      </x:c>
      <x:c r="B51" s="109" t="str">
        <x:v>Chronic maternal medical conditions</x:v>
      </x:c>
      <x:c r="C51" s="109" t="str">
        <x:v>DeepSeekV4-B</x:v>
      </x:c>
      <x:c r="D51" s="127" t="n">
        <x:v>1</x:v>
      </x:c>
      <x:c r="E51" s="109" t="str">
        <x:v>Maternal autoimmune disease</x:v>
      </x:c>
      <x:c r="F51" s="109" t="str">
        <x:v>ASD</x:v>
      </x:c>
      <x:c r="G51" s="109" t="str">
        <x:v>pre_exposure</x:v>
      </x:c>
      <x:c r="H51" s="109" t="str">
        <x:v>confounder</x:v>
      </x:c>
      <x:c r="I51" s="109" t="str">
        <x:v>historical_induction/raw_candidate_runs/runs_v2_deepseek/v2_deepseek-v4-pro_B.json#variables[10]</x:v>
      </x:c>
      <x:c r="J5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1" s="109" t="str">
        <x:v/>
      </x:c>
      <x:c r="L51" s="109"/>
    </x:row>
    <x:row r="52" ht="94" customHeight="1">
      <x:c r="A52" s="109" t="str">
        <x:v>H7</x:v>
      </x:c>
      <x:c r="B52" s="109" t="str">
        <x:v>Chronic maternal medical conditions</x:v>
      </x:c>
      <x:c r="C52" s="109" t="str">
        <x:v>DeepSeekV4-C</x:v>
      </x:c>
      <x:c r="D52" s="127" t="n">
        <x:v>1</x:v>
      </x:c>
      <x:c r="E52" s="109" t="str">
        <x:v>Maternal autoimmune disease history</x:v>
      </x:c>
      <x:c r="F52" s="109" t="str">
        <x:v>ASD</x:v>
      </x:c>
      <x:c r="G52" s="109" t="str">
        <x:v>pre_exposure</x:v>
      </x:c>
      <x:c r="H52" s="109" t="str">
        <x:v>confounder</x:v>
      </x:c>
      <x:c r="I52" s="109" t="str">
        <x:v>historical_induction/raw_candidate_runs/runs_v2_deepseek/v2_deepseek-v4-pro_C.json#variables[4]</x:v>
      </x:c>
      <x:c r="J5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2" s="109" t="str">
        <x:v/>
      </x:c>
      <x:c r="L52" s="109"/>
    </x:row>
    <x:row r="53" ht="94" customHeight="1">
      <x:c r="A53" s="109" t="str">
        <x:v>I7</x:v>
      </x:c>
      <x:c r="B53" s="109" t="str">
        <x:v>Chronic maternal medical conditions</x:v>
      </x:c>
      <x:c r="C53" s="109" t="str">
        <x:v>Gemini3.1-A</x:v>
      </x:c>
      <x:c r="D53" s="127" t="n">
        <x:v>1</x:v>
      </x:c>
      <x:c r="E53" s="109" t="str">
        <x:v>maternal autoimmune diseases</x:v>
      </x:c>
      <x:c r="F53" s="109" t="str">
        <x:v>ASD</x:v>
      </x:c>
      <x:c r="G53" s="109" t="str">
        <x:v>pre_exposure</x:v>
      </x:c>
      <x:c r="H53" s="109" t="str">
        <x:v>confounder</x:v>
      </x:c>
      <x:c r="I53" s="109" t="str">
        <x:v>historical_induction/raw_candidate_runs/runs_v2_gemini/v2_gemini-3.1-pro-preview_A.json#variables[2]</x:v>
      </x:c>
      <x:c r="J5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3" s="109" t="str">
        <x:v/>
      </x:c>
      <x:c r="L53" s="109"/>
    </x:row>
    <x:row r="54" ht="94" customHeight="1">
      <x:c r="A54" s="109" t="str">
        <x:v>J7</x:v>
      </x:c>
      <x:c r="B54" s="109" t="str">
        <x:v>Chronic maternal medical conditions</x:v>
      </x:c>
      <x:c r="C54" s="109" t="str">
        <x:v>Gemini3.1-B</x:v>
      </x:c>
      <x:c r="D54" s="127" t="n">
        <x:v>1</x:v>
      </x:c>
      <x:c r="E54" s="109" t="str">
        <x:v>Maternal asthma</x:v>
      </x:c>
      <x:c r="F54" s="109" t="str">
        <x:v>ADHD</x:v>
      </x:c>
      <x:c r="G54" s="109" t="str">
        <x:v>pre_exposure</x:v>
      </x:c>
      <x:c r="H54" s="109" t="str">
        <x:v>confounder</x:v>
      </x:c>
      <x:c r="I54" s="109" t="str">
        <x:v>historical_induction/raw_candidate_runs/runs_v2_gemini_adhd/v2_gemini-3.1-pro-preview_B.json#variables[20]</x:v>
      </x:c>
      <x:c r="J5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4" s="109" t="str">
        <x:v/>
      </x:c>
      <x:c r="L54" s="109"/>
    </x:row>
    <x:row r="55" ht="94" customHeight="1">
      <x:c r="A55" s="109" t="str">
        <x:v>K7</x:v>
      </x:c>
      <x:c r="B55" s="109" t="str">
        <x:v>Chronic maternal medical conditions</x:v>
      </x:c>
      <x:c r="C55" s="109" t="str">
        <x:v>Gemini3.1-C</x:v>
      </x:c>
      <x:c r="D55" s="127" t="n">
        <x:v>1</x:v>
      </x:c>
      <x:c r="E55" s="109" t="str">
        <x:v>Maternal asthma</x:v>
      </x:c>
      <x:c r="F55" s="109" t="str">
        <x:v>ADHD</x:v>
      </x:c>
      <x:c r="G55" s="109" t="str">
        <x:v>pre_exposure</x:v>
      </x:c>
      <x:c r="H55" s="109" t="str">
        <x:v>confounder</x:v>
      </x:c>
      <x:c r="I55" s="109" t="str">
        <x:v>historical_induction/raw_candidate_runs/runs_v2_gemini_adhd/v2_gemini-3.1-pro-preview_C.json#variables[18]</x:v>
      </x:c>
      <x:c r="J5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55" s="109" t="str">
        <x:v/>
      </x:c>
      <x:c r="L55" s="109"/>
    </x:row>
    <x:row r="56" ht="94" customHeight="1">
      <x:c r="A56" s="109" t="str">
        <x:v>C8</x:v>
      </x:c>
      <x:c r="B56" s="109" t="str">
        <x:v>Pregnancy/obstetric complications</x:v>
      </x:c>
      <x:c r="C56" s="109" t="str">
        <x:v>GPT5.5-A</x:v>
      </x:c>
      <x:c r="D56" s="127" t="n">
        <x:v>1</x:v>
      </x:c>
      <x:c r="E56" s="109" t="str">
        <x:v>gestational diabetes diagnosed after paracetamol use</x:v>
      </x:c>
      <x:c r="F56" s="109" t="str">
        <x:v>ASD</x:v>
      </x:c>
      <x:c r="G56" s="109" t="str">
        <x:v>post_exposure_pre_outcome</x:v>
      </x:c>
      <x:c r="H56" s="109" t="str">
        <x:v>mediator</x:v>
      </x:c>
      <x:c r="I56" s="109" t="str">
        <x:v>historical_induction/raw_candidate_runs/runs_v2_openai/v2_gpt-5.5_A.json#variables[146]</x:v>
      </x:c>
      <x:c r="J56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56" s="109" t="str">
        <x:v/>
      </x:c>
      <x:c r="L56" s="109"/>
    </x:row>
    <x:row r="57" ht="94" customHeight="1">
      <x:c r="A57" s="109" t="str">
        <x:v>D8</x:v>
      </x:c>
      <x:c r="B57" s="109" t="str">
        <x:v>Pregnancy/obstetric complications</x:v>
      </x:c>
      <x:c r="C57" s="109" t="str">
        <x:v>GPT5.5-B</x:v>
      </x:c>
      <x:c r="D57" s="127" t="n">
        <x:v>1</x:v>
      </x:c>
      <x:c r="E57" s="109" t="str">
        <x:v>antepartum hemorrhage after paracetamol use</x:v>
      </x:c>
      <x:c r="F57" s="109" t="str">
        <x:v>ASD</x:v>
      </x:c>
      <x:c r="G57" s="109" t="str">
        <x:v>post_exposure_pre_outcome</x:v>
      </x:c>
      <x:c r="H57" s="109" t="str">
        <x:v>mediator</x:v>
      </x:c>
      <x:c r="I57" s="109" t="str">
        <x:v>historical_induction/raw_candidate_runs/runs_v2_openai/v2_gpt-5.5_B.json#variables[162]</x:v>
      </x:c>
      <x:c r="J57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57" s="109" t="str">
        <x:v/>
      </x:c>
      <x:c r="L57" s="109"/>
    </x:row>
    <x:row r="58" ht="94" customHeight="1">
      <x:c r="A58" s="109" t="str">
        <x:v>E8</x:v>
      </x:c>
      <x:c r="B58" s="109" t="str">
        <x:v>Pregnancy/obstetric complications</x:v>
      </x:c>
      <x:c r="C58" s="109" t="str">
        <x:v>GPT5.5-C</x:v>
      </x:c>
      <x:c r="D58" s="127" t="n">
        <x:v>1</x:v>
      </x:c>
      <x:c r="E58" s="109" t="str">
        <x:v>gestational diabetes after paracetamol use</x:v>
      </x:c>
      <x:c r="F58" s="109" t="str">
        <x:v>ADHD</x:v>
      </x:c>
      <x:c r="G58" s="109" t="str">
        <x:v>post_exposure_pre_outcome</x:v>
      </x:c>
      <x:c r="H58" s="109" t="str">
        <x:v>mediator</x:v>
      </x:c>
      <x:c r="I58" s="109" t="str">
        <x:v>historical_induction/raw_candidate_runs/runs_v2_openai_adhd/v2_gpt-5.5_C.json#variables[159]</x:v>
      </x:c>
      <x:c r="J58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58" s="109" t="str">
        <x:v/>
      </x:c>
      <x:c r="L58" s="109"/>
    </x:row>
    <x:row r="59" ht="94" customHeight="1">
      <x:c r="A59" s="109" t="str">
        <x:v>F8</x:v>
      </x:c>
      <x:c r="B59" s="109" t="str">
        <x:v>Pregnancy/obstetric complications</x:v>
      </x:c>
      <x:c r="C59" s="109" t="str">
        <x:v>DeepSeekV4-A</x:v>
      </x:c>
      <x:c r="D59" s="127" t="n">
        <x:v>1</x:v>
      </x:c>
      <x:c r="E59" s="109" t="str">
        <x:v>Gestational diabetes (current pregnancy)</x:v>
      </x:c>
      <x:c r="F59" s="109" t="str">
        <x:v>ASD</x:v>
      </x:c>
      <x:c r="G59" s="109" t="str">
        <x:v>post_exposure_pre_outcome</x:v>
      </x:c>
      <x:c r="H59" s="109" t="str">
        <x:v>mediator</x:v>
      </x:c>
      <x:c r="I59" s="109" t="str">
        <x:v>historical_induction/raw_candidate_runs/runs_v2_deepseek/v2_deepseek-v4-pro_A.json#variables[55]</x:v>
      </x:c>
      <x:c r="J59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59" s="109" t="str">
        <x:v/>
      </x:c>
      <x:c r="L59" s="109"/>
    </x:row>
    <x:row r="60" ht="94" customHeight="1">
      <x:c r="A60" s="109" t="str">
        <x:v>G8</x:v>
      </x:c>
      <x:c r="B60" s="109" t="str">
        <x:v>Pregnancy/obstetric complications</x:v>
      </x:c>
      <x:c r="C60" s="109" t="str">
        <x:v>DeepSeekV4-B</x:v>
      </x:c>
      <x:c r="D60" s="127" t="n">
        <x:v>1</x:v>
      </x:c>
      <x:c r="E60" s="109" t="str">
        <x:v>Gestational diabetes</x:v>
      </x:c>
      <x:c r="F60" s="109" t="str">
        <x:v>ASD</x:v>
      </x:c>
      <x:c r="G60" s="109" t="str">
        <x:v>post_exposure_pre_outcome</x:v>
      </x:c>
      <x:c r="H60" s="109" t="str">
        <x:v>mediator</x:v>
      </x:c>
      <x:c r="I60" s="109" t="str">
        <x:v>historical_induction/raw_candidate_runs/runs_v2_deepseek/v2_deepseek-v4-pro_B.json#variables[52]</x:v>
      </x:c>
      <x:c r="J60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60" s="109" t="str">
        <x:v/>
      </x:c>
      <x:c r="L60" s="109"/>
    </x:row>
    <x:row r="61" ht="94" customHeight="1">
      <x:c r="A61" s="109" t="str">
        <x:v>H8</x:v>
      </x:c>
      <x:c r="B61" s="109" t="str">
        <x:v>Pregnancy/obstetric complications</x:v>
      </x:c>
      <x:c r="C61" s="109" t="str">
        <x:v>DeepSeekV4-C</x:v>
      </x:c>
      <x:c r="D61" s="127" t="n">
        <x:v>1</x:v>
      </x:c>
      <x:c r="E61" s="109" t="str">
        <x:v>preeclampsia</x:v>
      </x:c>
      <x:c r="F61" s="109" t="str">
        <x:v>ADHD</x:v>
      </x:c>
      <x:c r="G61" s="109" t="str">
        <x:v>post_exposure_pre_outcome</x:v>
      </x:c>
      <x:c r="H61" s="109" t="str">
        <x:v>mediator</x:v>
      </x:c>
      <x:c r="I61" s="109" t="str">
        <x:v>historical_induction/raw_candidate_runs/runs_v2_deepseek_adhd/v2_deepseek-v4-pro_C.json#variables[47]</x:v>
      </x:c>
      <x:c r="J61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61" s="109" t="str">
        <x:v/>
      </x:c>
      <x:c r="L61" s="109"/>
    </x:row>
    <x:row r="62" ht="94" customHeight="1">
      <x:c r="A62" s="109" t="str">
        <x:v>I8</x:v>
      </x:c>
      <x:c r="B62" s="109" t="str">
        <x:v>Pregnancy/obstetric complications</x:v>
      </x:c>
      <x:c r="C62" s="109" t="str">
        <x:v>Gemini3.1-A</x:v>
      </x:c>
      <x:c r="D62" s="127" t="n">
        <x:v>0</x:v>
      </x:c>
      <x:c r="E62" s="109" t="str">
        <x:v>—</x:v>
      </x:c>
      <x:c r="F62" s="109" t="str"/>
      <x:c r="G62" s="109" t="str"/>
      <x:c r="H62" s="109" t="str"/>
      <x:c r="I62" s="109" t="str"/>
      <x:c r="J62" s="109" t="str">
        <x:v>Current-pregnancy complication discovery before causal-role adjudication; source timing and role retained, without confounder eligibility credit. No qualifying candidate found for this construct in the paired ASD/ADHD outputs.</x:v>
      </x:c>
      <x:c r="K62" s="109" t="str">
        <x:v/>
      </x:c>
      <x:c r="L62" s="109"/>
    </x:row>
    <x:row r="63" ht="94" customHeight="1">
      <x:c r="A63" s="109" t="str">
        <x:v>J8</x:v>
      </x:c>
      <x:c r="B63" s="109" t="str">
        <x:v>Pregnancy/obstetric complications</x:v>
      </x:c>
      <x:c r="C63" s="109" t="str">
        <x:v>Gemini3.1-B</x:v>
      </x:c>
      <x:c r="D63" s="127" t="n">
        <x:v>1</x:v>
      </x:c>
      <x:c r="E63" s="109" t="str">
        <x:v>Gestational diabetes</x:v>
      </x:c>
      <x:c r="F63" s="109" t="str">
        <x:v>ADHD</x:v>
      </x:c>
      <x:c r="G63" s="109" t="str">
        <x:v>pre_exposure</x:v>
      </x:c>
      <x:c r="H63" s="109" t="str">
        <x:v>confounder</x:v>
      </x:c>
      <x:c r="I63" s="109" t="str">
        <x:v>historical_induction/raw_candidate_runs/runs_v2_gemini_adhd/v2_gemini-3.1-pro-preview_B.json#variables[26]</x:v>
      </x:c>
      <x:c r="J63" s="109" t="str">
        <x:v>Current-pregnancy complication discovery before causal-role adjudication; source timing and role retained, without confounder eligibility credit. One exact qualifying example retained for transparent recall; this is not an exhaustive variable list.</x:v>
      </x:c>
      <x:c r="K63" s="109" t="str">
        <x:v/>
      </x:c>
      <x:c r="L63" s="109"/>
    </x:row>
    <x:row r="64" ht="94" customHeight="1">
      <x:c r="A64" s="109" t="str">
        <x:v>K8</x:v>
      </x:c>
      <x:c r="B64" s="109" t="str">
        <x:v>Pregnancy/obstetric complications</x:v>
      </x:c>
      <x:c r="C64" s="109" t="str">
        <x:v>Gemini3.1-C</x:v>
      </x:c>
      <x:c r="D64" s="127" t="n">
        <x:v>0</x:v>
      </x:c>
      <x:c r="E64" s="109" t="str">
        <x:v>—</x:v>
      </x:c>
      <x:c r="F64" s="109" t="str"/>
      <x:c r="G64" s="109" t="str"/>
      <x:c r="H64" s="109" t="str"/>
      <x:c r="I64" s="109" t="str"/>
      <x:c r="J64" s="109" t="str">
        <x:v>Current-pregnancy complication discovery before causal-role adjudication; source timing and role retained, without confounder eligibility credit. No qualifying candidate found for this construct in the paired ASD/ADHD outputs.</x:v>
      </x:c>
      <x:c r="K64" s="109" t="str">
        <x:v/>
      </x:c>
      <x:c r="L64" s="109"/>
    </x:row>
    <x:row r="65" ht="94" customHeight="1">
      <x:c r="A65" s="109" t="str">
        <x:v>C9</x:v>
      </x:c>
      <x:c r="B65" s="109" t="str">
        <x:v>Concomitant medication/treatment context</x:v>
      </x:c>
      <x:c r="C65" s="109" t="str">
        <x:v>GPT5.5-A</x:v>
      </x:c>
      <x:c r="D65" s="127" t="n">
        <x:v>1</x:v>
      </x:c>
      <x:c r="E65" s="109" t="str">
        <x:v>maternal antibiotic use before first acetaminophen use in pregnancy</x:v>
      </x:c>
      <x:c r="F65" s="109" t="str">
        <x:v>ADHD</x:v>
      </x:c>
      <x:c r="G65" s="109" t="str">
        <x:v>pre_exposure</x:v>
      </x:c>
      <x:c r="H65" s="109" t="str">
        <x:v>confounder</x:v>
      </x:c>
      <x:c r="I65" s="109" t="str">
        <x:v>historical_induction/raw_candidate_runs/runs_v2_openai_adhd/v2_gpt-5.5_A.json#variables[109]</x:v>
      </x:c>
      <x:c r="J6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5" s="109" t="str">
        <x:v/>
      </x:c>
      <x:c r="L65" s="109"/>
    </x:row>
    <x:row r="66" ht="94" customHeight="1">
      <x:c r="A66" s="109" t="str">
        <x:v>D9</x:v>
      </x:c>
      <x:c r="B66" s="109" t="str">
        <x:v>Concomitant medication/treatment context</x:v>
      </x:c>
      <x:c r="C66" s="109" t="str">
        <x:v>GPT5.5-B</x:v>
      </x:c>
      <x:c r="D66" s="127" t="n">
        <x:v>1</x:v>
      </x:c>
      <x:c r="E66" s="109" t="str">
        <x:v>antibiotic use before paracetamol initiation</x:v>
      </x:c>
      <x:c r="F66" s="109" t="str">
        <x:v>ADHD</x:v>
      </x:c>
      <x:c r="G66" s="109" t="str">
        <x:v>pre_exposure</x:v>
      </x:c>
      <x:c r="H66" s="109" t="str">
        <x:v>confounder</x:v>
      </x:c>
      <x:c r="I66" s="109" t="str">
        <x:v>historical_induction/raw_candidate_runs/runs_v2_openai_adhd/v2_gpt-5.5_B.json#variables[113]</x:v>
      </x:c>
      <x:c r="J6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6" s="109" t="str">
        <x:v/>
      </x:c>
      <x:c r="L66" s="109"/>
    </x:row>
    <x:row r="67" ht="94" customHeight="1">
      <x:c r="A67" s="109" t="str">
        <x:v>E9</x:v>
      </x:c>
      <x:c r="B67" s="109" t="str">
        <x:v>Concomitant medication/treatment context</x:v>
      </x:c>
      <x:c r="C67" s="109" t="str">
        <x:v>GPT5.5-C</x:v>
      </x:c>
      <x:c r="D67" s="127" t="n">
        <x:v>1</x:v>
      </x:c>
      <x:c r="E67" s="109" t="str">
        <x:v>antibiotic use before paracetamol use in pregnancy</x:v>
      </x:c>
      <x:c r="F67" s="109" t="str">
        <x:v>ASD</x:v>
      </x:c>
      <x:c r="G67" s="109" t="str">
        <x:v>pre_exposure</x:v>
      </x:c>
      <x:c r="H67" s="109" t="str">
        <x:v>confounder</x:v>
      </x:c>
      <x:c r="I67" s="109" t="str">
        <x:v>historical_induction/raw_candidate_runs/runs_v2_openai/v2_gpt-5.5_C.json#variables[117]</x:v>
      </x:c>
      <x:c r="J6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7" s="109" t="str">
        <x:v/>
      </x:c>
      <x:c r="L67" s="109"/>
    </x:row>
    <x:row r="68" ht="94" customHeight="1">
      <x:c r="A68" s="109" t="str">
        <x:v>F9</x:v>
      </x:c>
      <x:c r="B68" s="109" t="str">
        <x:v>Concomitant medication/treatment context</x:v>
      </x:c>
      <x:c r="C68" s="109" t="str">
        <x:v>DeepSeekV4-A</x:v>
      </x:c>
      <x:c r="D68" s="127" t="n">
        <x:v>1</x:v>
      </x:c>
      <x:c r="E68" s="109" t="str">
        <x:v>Maternal use of NSAIDs during pregnancy</x:v>
      </x:c>
      <x:c r="F68" s="109" t="str">
        <x:v>ASD</x:v>
      </x:c>
      <x:c r="G68" s="109" t="str">
        <x:v>pre_exposure</x:v>
      </x:c>
      <x:c r="H68" s="109" t="str">
        <x:v>confounder</x:v>
      </x:c>
      <x:c r="I68" s="109" t="str">
        <x:v>historical_induction/raw_candidate_runs/runs_v2_deepseek/v2_deepseek-v4-pro_A.json#variables[30]</x:v>
      </x:c>
      <x:c r="J6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8" s="109" t="str">
        <x:v/>
      </x:c>
      <x:c r="L68" s="109"/>
    </x:row>
    <x:row r="69" ht="94" customHeight="1">
      <x:c r="A69" s="109" t="str">
        <x:v>G9</x:v>
      </x:c>
      <x:c r="B69" s="109" t="str">
        <x:v>Concomitant medication/treatment context</x:v>
      </x:c>
      <x:c r="C69" s="109" t="str">
        <x:v>DeepSeekV4-B</x:v>
      </x:c>
      <x:c r="D69" s="127" t="n">
        <x:v>1</x:v>
      </x:c>
      <x:c r="E69" s="109" t="str">
        <x:v>Maternal NSAID use during pregnancy</x:v>
      </x:c>
      <x:c r="F69" s="109" t="str">
        <x:v>ASD</x:v>
      </x:c>
      <x:c r="G69" s="109" t="str">
        <x:v>pre_exposure</x:v>
      </x:c>
      <x:c r="H69" s="109" t="str">
        <x:v>confounder</x:v>
      </x:c>
      <x:c r="I69" s="109" t="str">
        <x:v>historical_induction/raw_candidate_runs/runs_v2_deepseek/v2_deepseek-v4-pro_B.json#variables[30]</x:v>
      </x:c>
      <x:c r="J6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69" s="109" t="str">
        <x:v/>
      </x:c>
      <x:c r="L69" s="109"/>
    </x:row>
    <x:row r="70" ht="94" customHeight="1">
      <x:c r="A70" s="109" t="str">
        <x:v>H9</x:v>
      </x:c>
      <x:c r="B70" s="109" t="str">
        <x:v>Concomitant medication/treatment context</x:v>
      </x:c>
      <x:c r="C70" s="109" t="str">
        <x:v>DeepSeekV4-C</x:v>
      </x:c>
      <x:c r="D70" s="127" t="n">
        <x:v>1</x:v>
      </x:c>
      <x:c r="E70" s="109" t="str">
        <x:v>maternal_antidepressant_use; maternal_other_medication_use</x:v>
      </x:c>
      <x:c r="F70" s="109" t="str">
        <x:v>ADHD; ADHD</x:v>
      </x:c>
      <x:c r="G70" s="109" t="str">
        <x:v>pre_exposure; pre_exposure</x:v>
      </x:c>
      <x:c r="H70" s="109" t="str">
        <x:v>confounder; confounder</x:v>
      </x:c>
      <x:c r="I70" s="109" t="str">
        <x:v>historical_induction/raw_candidate_runs/runs_v2_deepseek_adhd/v2_deepseek-v4-pro_C.json#variables[18]; historical_induction/raw_candidate_runs/runs_v2_deepseek_adhd/v2_deepseek-v4-pro_C.json#variables[19]</x:v>
      </x:c>
      <x:c r="J70" s="109" t="inlineStr">
        <x:is>
          <x:t>Child antibiotic entries have the wrong subject and timing. Maternal_antidepressant_use and maternal_other_medication_use qualify; recall = 1.</x:t>
        </x:is>
      </x:c>
      <x:c r="K70" s="109" t="str">
        <x:v/>
      </x:c>
      <x:c r="L70" s="109"/>
    </x:row>
    <x:row r="71" ht="94" customHeight="1">
      <x:c r="A71" s="109" t="str">
        <x:v>I9</x:v>
      </x:c>
      <x:c r="B71" s="109" t="str">
        <x:v>Concomitant medication/treatment context</x:v>
      </x:c>
      <x:c r="C71" s="109" t="str">
        <x:v>Gemini3.1-A</x:v>
      </x:c>
      <x:c r="D71" s="127" t="n">
        <x:v>1</x:v>
      </x:c>
      <x:c r="E71" s="109" t="str">
        <x:v>Maternal use of other medications (e.g., NSAIDs, antidepressants)</x:v>
      </x:c>
      <x:c r="F71" s="109" t="str">
        <x:v>ADHD</x:v>
      </x:c>
      <x:c r="G71" s="109" t="str">
        <x:v>pre_exposure</x:v>
      </x:c>
      <x:c r="H71" s="109" t="str">
        <x:v>confounder</x:v>
      </x:c>
      <x:c r="I71" s="109" t="str">
        <x:v>historical_induction/raw_candidate_runs/runs_v2_gemini_adhd/v2_gemini-3.1-pro-preview_A.json#variables[11]</x:v>
      </x:c>
      <x:c r="J7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1" s="109" t="str">
        <x:v/>
      </x:c>
      <x:c r="L71" s="109"/>
    </x:row>
    <x:row r="72" ht="94" customHeight="1">
      <x:c r="A72" s="109" t="str">
        <x:v>J9</x:v>
      </x:c>
      <x:c r="B72" s="109" t="str">
        <x:v>Concomitant medication/treatment context</x:v>
      </x:c>
      <x:c r="C72" s="109" t="str">
        <x:v>Gemini3.1-B</x:v>
      </x:c>
      <x:c r="D72" s="127" t="n">
        <x:v>1</x:v>
      </x:c>
      <x:c r="E72" s="109" t="str">
        <x:v>Concomitant use of other medications (e.g., NSAIDs, antidepressants)</x:v>
      </x:c>
      <x:c r="F72" s="109" t="str">
        <x:v>ADHD</x:v>
      </x:c>
      <x:c r="G72" s="109" t="str">
        <x:v>pre_exposure</x:v>
      </x:c>
      <x:c r="H72" s="109" t="str">
        <x:v>confounder</x:v>
      </x:c>
      <x:c r="I72" s="109" t="str">
        <x:v>historical_induction/raw_candidate_runs/runs_v2_gemini_adhd/v2_gemini-3.1-pro-preview_B.json#variables[15]</x:v>
      </x:c>
      <x:c r="J7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2" s="109" t="str">
        <x:v/>
      </x:c>
      <x:c r="L72" s="109"/>
    </x:row>
    <x:row r="73" ht="94" customHeight="1">
      <x:c r="A73" s="109" t="str">
        <x:v>K9</x:v>
      </x:c>
      <x:c r="B73" s="109" t="str">
        <x:v>Concomitant medication/treatment context</x:v>
      </x:c>
      <x:c r="C73" s="109" t="str">
        <x:v>Gemini3.1-C</x:v>
      </x:c>
      <x:c r="D73" s="127" t="n">
        <x:v>1</x:v>
      </x:c>
      <x:c r="E73" s="109" t="str">
        <x:v>Concomitant maternal medication use (e.g., SSRIs, antibiotics)</x:v>
      </x:c>
      <x:c r="F73" s="109" t="str">
        <x:v>ASD</x:v>
      </x:c>
      <x:c r="G73" s="109" t="str">
        <x:v>pre_exposure</x:v>
      </x:c>
      <x:c r="H73" s="109" t="str">
        <x:v>confounder</x:v>
      </x:c>
      <x:c r="I73" s="109" t="str">
        <x:v>historical_induction/raw_candidate_runs/runs_v2_gemini/v2_gemini-3.1-pro-preview_C.json#variables[12]</x:v>
      </x:c>
      <x:c r="J7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3" s="109" t="str">
        <x:v/>
      </x:c>
      <x:c r="L73" s="109"/>
    </x:row>
    <x:row r="74" ht="94" customHeight="1">
      <x:c r="A74" s="109" t="str">
        <x:v>C10</x:v>
      </x:c>
      <x:c r="B74" s="109" t="str">
        <x:v>Maternal metabolic/adiposity status</x:v>
      </x:c>
      <x:c r="C74" s="109" t="str">
        <x:v>GPT5.5-A</x:v>
      </x:c>
      <x:c r="D74" s="127" t="n">
        <x:v>1</x:v>
      </x:c>
      <x:c r="E74" s="109" t="str">
        <x:v>maternal pre-pregnancy body mass index</x:v>
      </x:c>
      <x:c r="F74" s="109" t="str">
        <x:v>ASD</x:v>
      </x:c>
      <x:c r="G74" s="109" t="str">
        <x:v>pre_exposure</x:v>
      </x:c>
      <x:c r="H74" s="109" t="str">
        <x:v>confounder</x:v>
      </x:c>
      <x:c r="I74" s="109" t="str">
        <x:v>historical_induction/raw_candidate_runs/runs_v2_openai/v2_gpt-5.5_A.json#variables[50]</x:v>
      </x:c>
      <x:c r="J7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4" s="109" t="str">
        <x:v/>
      </x:c>
      <x:c r="L74" s="109"/>
    </x:row>
    <x:row r="75" ht="94" customHeight="1">
      <x:c r="A75" s="109" t="str">
        <x:v>D10</x:v>
      </x:c>
      <x:c r="B75" s="109" t="str">
        <x:v>Maternal metabolic/adiposity status</x:v>
      </x:c>
      <x:c r="C75" s="109" t="str">
        <x:v>GPT5.5-B</x:v>
      </x:c>
      <x:c r="D75" s="127" t="n">
        <x:v>1</x:v>
      </x:c>
      <x:c r="E75" s="109" t="str">
        <x:v>maternal obesity before pregnancy</x:v>
      </x:c>
      <x:c r="F75" s="109" t="str">
        <x:v>ASD</x:v>
      </x:c>
      <x:c r="G75" s="109" t="str">
        <x:v>pre_exposure</x:v>
      </x:c>
      <x:c r="H75" s="109" t="str">
        <x:v>confounder</x:v>
      </x:c>
      <x:c r="I75" s="109" t="str">
        <x:v>historical_induction/raw_candidate_runs/runs_v2_openai/v2_gpt-5.5_B.json#variables[34]</x:v>
      </x:c>
      <x:c r="J7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5" s="109" t="str">
        <x:v/>
      </x:c>
      <x:c r="L75" s="109"/>
    </x:row>
    <x:row r="76" ht="94" customHeight="1">
      <x:c r="A76" s="109" t="str">
        <x:v>E10</x:v>
      </x:c>
      <x:c r="B76" s="109" t="str">
        <x:v>Maternal metabolic/adiposity status</x:v>
      </x:c>
      <x:c r="C76" s="109" t="str">
        <x:v>GPT5.5-C</x:v>
      </x:c>
      <x:c r="D76" s="127" t="n">
        <x:v>1</x:v>
      </x:c>
      <x:c r="E76" s="109" t="str">
        <x:v>maternal obesity before pregnancy</x:v>
      </x:c>
      <x:c r="F76" s="109" t="str">
        <x:v>ADHD</x:v>
      </x:c>
      <x:c r="G76" s="109" t="str">
        <x:v>pre_exposure</x:v>
      </x:c>
      <x:c r="H76" s="109" t="str">
        <x:v>confounder</x:v>
      </x:c>
      <x:c r="I76" s="109" t="str">
        <x:v>historical_induction/raw_candidate_runs/runs_v2_openai_adhd/v2_gpt-5.5_C.json#variables[80]</x:v>
      </x:c>
      <x:c r="J7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6" s="109" t="str">
        <x:v/>
      </x:c>
      <x:c r="L76" s="109"/>
    </x:row>
    <x:row r="77" ht="94" customHeight="1">
      <x:c r="A77" s="109" t="str">
        <x:v>F10</x:v>
      </x:c>
      <x:c r="B77" s="109" t="str">
        <x:v>Maternal metabolic/adiposity status</x:v>
      </x:c>
      <x:c r="C77" s="109" t="str">
        <x:v>DeepSeekV4-A</x:v>
      </x:c>
      <x:c r="D77" s="127" t="n">
        <x:v>1</x:v>
      </x:c>
      <x:c r="E77" s="109" t="str">
        <x:v>Maternal pre-pregnancy body mass index</x:v>
      </x:c>
      <x:c r="F77" s="109" t="str">
        <x:v>ASD</x:v>
      </x:c>
      <x:c r="G77" s="109" t="str">
        <x:v>pre_exposure</x:v>
      </x:c>
      <x:c r="H77" s="109" t="str">
        <x:v>confounder</x:v>
      </x:c>
      <x:c r="I77" s="109" t="str">
        <x:v>historical_induction/raw_candidate_runs/runs_v2_deepseek/v2_deepseek-v4-pro_A.json#variables[8]</x:v>
      </x:c>
      <x:c r="J7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7" s="109" t="str">
        <x:v/>
      </x:c>
      <x:c r="L77" s="109"/>
    </x:row>
    <x:row r="78" ht="94" customHeight="1">
      <x:c r="A78" s="109" t="str">
        <x:v>G10</x:v>
      </x:c>
      <x:c r="B78" s="109" t="str">
        <x:v>Maternal metabolic/adiposity status</x:v>
      </x:c>
      <x:c r="C78" s="109" t="str">
        <x:v>DeepSeekV4-B</x:v>
      </x:c>
      <x:c r="D78" s="127" t="n">
        <x:v>1</x:v>
      </x:c>
      <x:c r="E78" s="109" t="str">
        <x:v>Maternal pre-pregnancy body mass index</x:v>
      </x:c>
      <x:c r="F78" s="109" t="str">
        <x:v>ASD</x:v>
      </x:c>
      <x:c r="G78" s="109" t="str">
        <x:v>pre_exposure</x:v>
      </x:c>
      <x:c r="H78" s="109" t="str">
        <x:v>confounder</x:v>
      </x:c>
      <x:c r="I78" s="109" t="str">
        <x:v>historical_induction/raw_candidate_runs/runs_v2_deepseek/v2_deepseek-v4-pro_B.json#variables[1]</x:v>
      </x:c>
      <x:c r="J7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8" s="109" t="str">
        <x:v/>
      </x:c>
      <x:c r="L78" s="109"/>
    </x:row>
    <x:row r="79" ht="94" customHeight="1">
      <x:c r="A79" s="109" t="str">
        <x:v>H10</x:v>
      </x:c>
      <x:c r="B79" s="109" t="str">
        <x:v>Maternal metabolic/adiposity status</x:v>
      </x:c>
      <x:c r="C79" s="109" t="str">
        <x:v>DeepSeekV4-C</x:v>
      </x:c>
      <x:c r="D79" s="127" t="n">
        <x:v>1</x:v>
      </x:c>
      <x:c r="E79" s="109" t="str">
        <x:v>Maternal pre-pregnancy body mass index</x:v>
      </x:c>
      <x:c r="F79" s="109" t="str">
        <x:v>ASD</x:v>
      </x:c>
      <x:c r="G79" s="109" t="str">
        <x:v>pre_exposure</x:v>
      </x:c>
      <x:c r="H79" s="109" t="str">
        <x:v>confounder</x:v>
      </x:c>
      <x:c r="I79" s="109" t="str">
        <x:v>historical_induction/raw_candidate_runs/runs_v2_deepseek/v2_deepseek-v4-pro_C.json#variables[3]</x:v>
      </x:c>
      <x:c r="J7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79" s="109" t="str">
        <x:v/>
      </x:c>
      <x:c r="L79" s="109"/>
    </x:row>
    <x:row r="80" ht="94" customHeight="1">
      <x:c r="A80" s="109" t="str">
        <x:v>I10</x:v>
      </x:c>
      <x:c r="B80" s="109" t="str">
        <x:v>Maternal metabolic/adiposity status</x:v>
      </x:c>
      <x:c r="C80" s="109" t="str">
        <x:v>Gemini3.1-A</x:v>
      </x:c>
      <x:c r="D80" s="127" t="n">
        <x:v>1</x:v>
      </x:c>
      <x:c r="E80" s="109" t="str">
        <x:v>Maternal pre-pregnancy body mass index (BMI)</x:v>
      </x:c>
      <x:c r="F80" s="109" t="str">
        <x:v>ADHD</x:v>
      </x:c>
      <x:c r="G80" s="109" t="str">
        <x:v>pre_exposure</x:v>
      </x:c>
      <x:c r="H80" s="109" t="str">
        <x:v>confounder</x:v>
      </x:c>
      <x:c r="I80" s="109" t="str">
        <x:v>historical_induction/raw_candidate_runs/runs_v2_gemini_adhd/v2_gemini-3.1-pro-preview_A.json#variables[8]</x:v>
      </x:c>
      <x:c r="J8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0" s="109" t="str">
        <x:v/>
      </x:c>
      <x:c r="L80" s="109"/>
    </x:row>
    <x:row r="81" ht="94" customHeight="1">
      <x:c r="A81" s="109" t="str">
        <x:v>J10</x:v>
      </x:c>
      <x:c r="B81" s="109" t="str">
        <x:v>Maternal metabolic/adiposity status</x:v>
      </x:c>
      <x:c r="C81" s="109" t="str">
        <x:v>Gemini3.1-B</x:v>
      </x:c>
      <x:c r="D81" s="127" t="n">
        <x:v>1</x:v>
      </x:c>
      <x:c r="E81" s="109" t="str">
        <x:v>Maternal pre-pregnancy BMI</x:v>
      </x:c>
      <x:c r="F81" s="109" t="str">
        <x:v>ADHD</x:v>
      </x:c>
      <x:c r="G81" s="109" t="str">
        <x:v>pre_exposure</x:v>
      </x:c>
      <x:c r="H81" s="109" t="str">
        <x:v>confounder</x:v>
      </x:c>
      <x:c r="I81" s="109" t="str">
        <x:v>historical_induction/raw_candidate_runs/runs_v2_gemini_adhd/v2_gemini-3.1-pro-preview_B.json#variables[9]</x:v>
      </x:c>
      <x:c r="J8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1" s="109" t="str">
        <x:v/>
      </x:c>
      <x:c r="L81" s="109"/>
    </x:row>
    <x:row r="82" ht="94" customHeight="1">
      <x:c r="A82" s="109" t="str">
        <x:v>K10</x:v>
      </x:c>
      <x:c r="B82" s="109" t="str">
        <x:v>Maternal metabolic/adiposity status</x:v>
      </x:c>
      <x:c r="C82" s="109" t="str">
        <x:v>Gemini3.1-C</x:v>
      </x:c>
      <x:c r="D82" s="127" t="n">
        <x:v>1</x:v>
      </x:c>
      <x:c r="E82" s="109" t="str">
        <x:v>Maternal BMI and obesity</x:v>
      </x:c>
      <x:c r="F82" s="109" t="str">
        <x:v>ASD</x:v>
      </x:c>
      <x:c r="G82" s="109" t="str">
        <x:v>pre_exposure</x:v>
      </x:c>
      <x:c r="H82" s="109" t="str">
        <x:v>confounder</x:v>
      </x:c>
      <x:c r="I82" s="109" t="str">
        <x:v>historical_induction/raw_candidate_runs/runs_v2_gemini/v2_gemini-3.1-pro-preview_C.json#variables[6]</x:v>
      </x:c>
      <x:c r="J8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2" s="109" t="str">
        <x:v/>
      </x:c>
      <x:c r="L82" s="109"/>
    </x:row>
    <x:row r="83" ht="94" customHeight="1">
      <x:c r="A83" s="109" t="str">
        <x:v>C11</x:v>
      </x:c>
      <x:c r="B83" s="109" t="str">
        <x:v>Socioeconomic position</x:v>
      </x:c>
      <x:c r="C83" s="109" t="str">
        <x:v>GPT5.5-A</x:v>
      </x:c>
      <x:c r="D83" s="127" t="n">
        <x:v>1</x:v>
      </x:c>
      <x:c r="E83" s="109" t="str">
        <x:v>household income before pregnancy</x:v>
      </x:c>
      <x:c r="F83" s="109" t="str">
        <x:v>ASD</x:v>
      </x:c>
      <x:c r="G83" s="109" t="str">
        <x:v>pre_exposure</x:v>
      </x:c>
      <x:c r="H83" s="109" t="str">
        <x:v>confounder</x:v>
      </x:c>
      <x:c r="I83" s="109" t="str">
        <x:v>historical_induction/raw_candidate_runs/runs_v2_openai/v2_gpt-5.5_A.json#variables[24]</x:v>
      </x:c>
      <x:c r="J8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3" s="109" t="str">
        <x:v/>
      </x:c>
      <x:c r="L83" s="109"/>
    </x:row>
    <x:row r="84" ht="94" customHeight="1">
      <x:c r="A84" s="109" t="str">
        <x:v>D11</x:v>
      </x:c>
      <x:c r="B84" s="109" t="str">
        <x:v>Socioeconomic position</x:v>
      </x:c>
      <x:c r="C84" s="109" t="str">
        <x:v>GPT5.5-B</x:v>
      </x:c>
      <x:c r="D84" s="127" t="n">
        <x:v>1</x:v>
      </x:c>
      <x:c r="E84" s="109" t="str">
        <x:v>household income</x:v>
      </x:c>
      <x:c r="F84" s="109" t="str">
        <x:v>ASD</x:v>
      </x:c>
      <x:c r="G84" s="109" t="str">
        <x:v>pre_exposure</x:v>
      </x:c>
      <x:c r="H84" s="109" t="str">
        <x:v>confounder</x:v>
      </x:c>
      <x:c r="I84" s="109" t="str">
        <x:v>historical_induction/raw_candidate_runs/runs_v2_openai/v2_gpt-5.5_B.json#variables[21]</x:v>
      </x:c>
      <x:c r="J8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4" s="109" t="str">
        <x:v/>
      </x:c>
      <x:c r="L84" s="109"/>
    </x:row>
    <x:row r="85" ht="94" customHeight="1">
      <x:c r="A85" s="109" t="str">
        <x:v>E11</x:v>
      </x:c>
      <x:c r="B85" s="109" t="str">
        <x:v>Socioeconomic position</x:v>
      </x:c>
      <x:c r="C85" s="109" t="str">
        <x:v>GPT5.5-C</x:v>
      </x:c>
      <x:c r="D85" s="127" t="n">
        <x:v>1</x:v>
      </x:c>
      <x:c r="E85" s="109" t="str">
        <x:v>household income before pregnancy</x:v>
      </x:c>
      <x:c r="F85" s="109" t="str">
        <x:v>ASD</x:v>
      </x:c>
      <x:c r="G85" s="109" t="str">
        <x:v>pre_exposure</x:v>
      </x:c>
      <x:c r="H85" s="109" t="str">
        <x:v>confounder</x:v>
      </x:c>
      <x:c r="I85" s="109" t="str">
        <x:v>historical_induction/raw_candidate_runs/runs_v2_openai/v2_gpt-5.5_C.json#variables[69]</x:v>
      </x:c>
      <x:c r="J8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5" s="109" t="str">
        <x:v/>
      </x:c>
      <x:c r="L85" s="109"/>
    </x:row>
    <x:row r="86" ht="94" customHeight="1">
      <x:c r="A86" s="109" t="str">
        <x:v>F11</x:v>
      </x:c>
      <x:c r="B86" s="109" t="str">
        <x:v>Socioeconomic position</x:v>
      </x:c>
      <x:c r="C86" s="109" t="str">
        <x:v>DeepSeekV4-A</x:v>
      </x:c>
      <x:c r="D86" s="127" t="n">
        <x:v>1</x:v>
      </x:c>
      <x:c r="E86" s="109" t="str">
        <x:v>Household income</x:v>
      </x:c>
      <x:c r="F86" s="109" t="str">
        <x:v>ASD</x:v>
      </x:c>
      <x:c r="G86" s="109" t="str">
        <x:v>pre_exposure</x:v>
      </x:c>
      <x:c r="H86" s="109" t="str">
        <x:v>confounder</x:v>
      </x:c>
      <x:c r="I86" s="109" t="str">
        <x:v>historical_induction/raw_candidate_runs/runs_v2_deepseek/v2_deepseek-v4-pro_A.json#variables[4]</x:v>
      </x:c>
      <x:c r="J8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6" s="109" t="str">
        <x:v/>
      </x:c>
      <x:c r="L86" s="109"/>
    </x:row>
    <x:row r="87" ht="94" customHeight="1">
      <x:c r="A87" s="109" t="str">
        <x:v>G11</x:v>
      </x:c>
      <x:c r="B87" s="109" t="str">
        <x:v>Socioeconomic position</x:v>
      </x:c>
      <x:c r="C87" s="109" t="str">
        <x:v>DeepSeekV4-B</x:v>
      </x:c>
      <x:c r="D87" s="127" t="n">
        <x:v>1</x:v>
      </x:c>
      <x:c r="E87" s="109" t="str">
        <x:v>Household income</x:v>
      </x:c>
      <x:c r="F87" s="109" t="str">
        <x:v>ASD</x:v>
      </x:c>
      <x:c r="G87" s="109" t="str">
        <x:v>pre_exposure</x:v>
      </x:c>
      <x:c r="H87" s="109" t="str">
        <x:v>confounder</x:v>
      </x:c>
      <x:c r="I87" s="109" t="str">
        <x:v>historical_induction/raw_candidate_runs/runs_v2_deepseek/v2_deepseek-v4-pro_B.json#variables[3]</x:v>
      </x:c>
      <x:c r="J8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7" s="109" t="str">
        <x:v/>
      </x:c>
      <x:c r="L87" s="109"/>
    </x:row>
    <x:row r="88" ht="94" customHeight="1">
      <x:c r="A88" s="109" t="str">
        <x:v>H11</x:v>
      </x:c>
      <x:c r="B88" s="109" t="str">
        <x:v>Socioeconomic position</x:v>
      </x:c>
      <x:c r="C88" s="109" t="str">
        <x:v>DeepSeekV4-C</x:v>
      </x:c>
      <x:c r="D88" s="127" t="n">
        <x:v>1</x:v>
      </x:c>
      <x:c r="E88" s="109" t="str">
        <x:v>Household income</x:v>
      </x:c>
      <x:c r="F88" s="109" t="str">
        <x:v>ASD</x:v>
      </x:c>
      <x:c r="G88" s="109" t="str">
        <x:v>pre_exposure</x:v>
      </x:c>
      <x:c r="H88" s="109" t="str">
        <x:v>confounder</x:v>
      </x:c>
      <x:c r="I88" s="109" t="str">
        <x:v>historical_induction/raw_candidate_runs/runs_v2_deepseek/v2_deepseek-v4-pro_C.json#variables[2]</x:v>
      </x:c>
      <x:c r="J8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8" s="109" t="str">
        <x:v/>
      </x:c>
      <x:c r="L88" s="109"/>
    </x:row>
    <x:row r="89" ht="94" customHeight="1">
      <x:c r="A89" s="109" t="str">
        <x:v>I11</x:v>
      </x:c>
      <x:c r="B89" s="109" t="str">
        <x:v>Socioeconomic position</x:v>
      </x:c>
      <x:c r="C89" s="109" t="str">
        <x:v>Gemini3.1-A</x:v>
      </x:c>
      <x:c r="D89" s="127" t="n">
        <x:v>1</x:v>
      </x:c>
      <x:c r="E89" s="109" t="str">
        <x:v>household income</x:v>
      </x:c>
      <x:c r="F89" s="109" t="str">
        <x:v>ASD</x:v>
      </x:c>
      <x:c r="G89" s="109" t="str">
        <x:v>pre_exposure</x:v>
      </x:c>
      <x:c r="H89" s="109" t="str">
        <x:v>confounder</x:v>
      </x:c>
      <x:c r="I89" s="109" t="str">
        <x:v>historical_induction/raw_candidate_runs/runs_v2_gemini/v2_gemini-3.1-pro-preview_A.json#variables[9]</x:v>
      </x:c>
      <x:c r="J8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89" s="109" t="str">
        <x:v/>
      </x:c>
      <x:c r="L89" s="109"/>
    </x:row>
    <x:row r="90" ht="94" customHeight="1">
      <x:c r="A90" s="109" t="str">
        <x:v>J11</x:v>
      </x:c>
      <x:c r="B90" s="109" t="str">
        <x:v>Socioeconomic position</x:v>
      </x:c>
      <x:c r="C90" s="109" t="str">
        <x:v>Gemini3.1-B</x:v>
      </x:c>
      <x:c r="D90" s="127" t="n">
        <x:v>1</x:v>
      </x:c>
      <x:c r="E90" s="109" t="str">
        <x:v>Household income</x:v>
      </x:c>
      <x:c r="F90" s="109" t="str">
        <x:v>ASD</x:v>
      </x:c>
      <x:c r="G90" s="109" t="str">
        <x:v>pre_exposure</x:v>
      </x:c>
      <x:c r="H90" s="109" t="str">
        <x:v>confounder</x:v>
      </x:c>
      <x:c r="I90" s="109" t="str">
        <x:v>historical_induction/raw_candidate_runs/runs_v2_gemini/v2_gemini-3.1-pro-preview_B.json#variables[10]</x:v>
      </x:c>
      <x:c r="J9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0" s="109" t="str">
        <x:v/>
      </x:c>
      <x:c r="L90" s="109"/>
    </x:row>
    <x:row r="91" ht="94" customHeight="1">
      <x:c r="A91" s="109" t="str">
        <x:v>K11</x:v>
      </x:c>
      <x:c r="B91" s="109" t="str">
        <x:v>Socioeconomic position</x:v>
      </x:c>
      <x:c r="C91" s="109" t="str">
        <x:v>Gemini3.1-C</x:v>
      </x:c>
      <x:c r="D91" s="127" t="n">
        <x:v>1</x:v>
      </x:c>
      <x:c r="E91" s="109" t="str">
        <x:v>Household socioeconomic status</x:v>
      </x:c>
      <x:c r="F91" s="109" t="str">
        <x:v>ADHD</x:v>
      </x:c>
      <x:c r="G91" s="109" t="str">
        <x:v>pre_exposure</x:v>
      </x:c>
      <x:c r="H91" s="109" t="str">
        <x:v>confounder</x:v>
      </x:c>
      <x:c r="I91" s="109" t="str">
        <x:v>historical_induction/raw_candidate_runs/runs_v2_gemini_adhd/v2_gemini-3.1-pro-preview_C.json#variables[9]</x:v>
      </x:c>
      <x:c r="J9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1" s="109" t="str">
        <x:v/>
      </x:c>
      <x:c r="L91" s="109"/>
    </x:row>
    <x:row r="92" ht="94" customHeight="1">
      <x:c r="A92" s="109" t="str">
        <x:v>C12</x:v>
      </x:c>
      <x:c r="B92" s="109" t="str">
        <x:v>Demographic/regional context</x:v>
      </x:c>
      <x:c r="C92" s="109" t="str">
        <x:v>GPT5.5-A</x:v>
      </x:c>
      <x:c r="D92" s="127" t="n">
        <x:v>1</x:v>
      </x:c>
      <x:c r="E92" s="109" t="str">
        <x:v>geographic region of residence at conception</x:v>
      </x:c>
      <x:c r="F92" s="109" t="str">
        <x:v>ADHD</x:v>
      </x:c>
      <x:c r="G92" s="109" t="str">
        <x:v>pre_exposure</x:v>
      </x:c>
      <x:c r="H92" s="109" t="str">
        <x:v>confounder</x:v>
      </x:c>
      <x:c r="I92" s="109" t="str">
        <x:v>historical_induction/raw_candidate_runs/runs_v2_openai_adhd/v2_gpt-5.5_A.json#variables[7]</x:v>
      </x:c>
      <x:c r="J9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2" s="109" t="str">
        <x:v/>
      </x:c>
      <x:c r="L92" s="109"/>
    </x:row>
    <x:row r="93" ht="94" customHeight="1">
      <x:c r="A93" s="109" t="str">
        <x:v>D12</x:v>
      </x:c>
      <x:c r="B93" s="109" t="str">
        <x:v>Demographic/regional context</x:v>
      </x:c>
      <x:c r="C93" s="109" t="str">
        <x:v>GPT5.5-B</x:v>
      </x:c>
      <x:c r="D93" s="127" t="n">
        <x:v>1</x:v>
      </x:c>
      <x:c r="E93" s="109" t="str">
        <x:v>maternal country of birth or immigration status</x:v>
      </x:c>
      <x:c r="F93" s="109" t="str">
        <x:v>ADHD</x:v>
      </x:c>
      <x:c r="G93" s="109" t="str">
        <x:v>pre_exposure</x:v>
      </x:c>
      <x:c r="H93" s="109" t="str">
        <x:v>confounder</x:v>
      </x:c>
      <x:c r="I93" s="109" t="str">
        <x:v>historical_induction/raw_candidate_runs/runs_v2_openai_adhd/v2_gpt-5.5_B.json#variables[12]</x:v>
      </x:c>
      <x:c r="J9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3" s="109" t="str">
        <x:v/>
      </x:c>
      <x:c r="L93" s="109"/>
    </x:row>
    <x:row r="94" ht="94" customHeight="1">
      <x:c r="A94" s="109" t="str">
        <x:v>E12</x:v>
      </x:c>
      <x:c r="B94" s="109" t="str">
        <x:v>Demographic/regional context</x:v>
      </x:c>
      <x:c r="C94" s="109" t="str">
        <x:v>GPT5.5-C</x:v>
      </x:c>
      <x:c r="D94" s="127" t="n">
        <x:v>1</x:v>
      </x:c>
      <x:c r="E94" s="109" t="str">
        <x:v>geographic region or country of residence</x:v>
      </x:c>
      <x:c r="F94" s="109" t="str">
        <x:v>ASD</x:v>
      </x:c>
      <x:c r="G94" s="109" t="str">
        <x:v>pre_exposure</x:v>
      </x:c>
      <x:c r="H94" s="109" t="str">
        <x:v>confounder</x:v>
      </x:c>
      <x:c r="I94" s="109" t="str">
        <x:v>historical_induction/raw_candidate_runs/runs_v2_openai/v2_gpt-5.5_C.json#variables[80]</x:v>
      </x:c>
      <x:c r="J9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4" s="109" t="str">
        <x:v/>
      </x:c>
      <x:c r="L94" s="109"/>
    </x:row>
    <x:row r="95" ht="94" customHeight="1">
      <x:c r="A95" s="109" t="str">
        <x:v>F12</x:v>
      </x:c>
      <x:c r="B95" s="109" t="str">
        <x:v>Demographic/regional context</x:v>
      </x:c>
      <x:c r="C95" s="109" t="str">
        <x:v>DeepSeekV4-A</x:v>
      </x:c>
      <x:c r="D95" s="127" t="n">
        <x:v>1</x:v>
      </x:c>
      <x:c r="E95" s="109" t="str">
        <x:v>Maternal race/ethnicity</x:v>
      </x:c>
      <x:c r="F95" s="109" t="str">
        <x:v>ASD</x:v>
      </x:c>
      <x:c r="G95" s="109" t="str">
        <x:v>pre_exposure</x:v>
      </x:c>
      <x:c r="H95" s="109" t="str">
        <x:v>confounder</x:v>
      </x:c>
      <x:c r="I95" s="109" t="str">
        <x:v>historical_induction/raw_candidate_runs/runs_v2_deepseek/v2_deepseek-v4-pro_A.json#variables[7]</x:v>
      </x:c>
      <x:c r="J9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5" s="109" t="str">
        <x:v/>
      </x:c>
      <x:c r="L95" s="109"/>
    </x:row>
    <x:row r="96" ht="94" customHeight="1">
      <x:c r="A96" s="109" t="str">
        <x:v>G12</x:v>
      </x:c>
      <x:c r="B96" s="109" t="str">
        <x:v>Demographic/regional context</x:v>
      </x:c>
      <x:c r="C96" s="109" t="str">
        <x:v>DeepSeekV4-B</x:v>
      </x:c>
      <x:c r="D96" s="127" t="n">
        <x:v>1</x:v>
      </x:c>
      <x:c r="E96" s="109" t="str">
        <x:v>Country of birth or immigration status</x:v>
      </x:c>
      <x:c r="F96" s="109" t="str">
        <x:v>ADHD</x:v>
      </x:c>
      <x:c r="G96" s="109" t="str">
        <x:v>pre_exposure</x:v>
      </x:c>
      <x:c r="H96" s="109" t="str">
        <x:v>confounder</x:v>
      </x:c>
      <x:c r="I96" s="109" t="str">
        <x:v>historical_induction/raw_candidate_runs/runs_v2_deepseek_adhd/v2_deepseek-v4-pro_B.json#variables[35]</x:v>
      </x:c>
      <x:c r="J9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6" s="109" t="str">
        <x:v/>
      </x:c>
      <x:c r="L96" s="109"/>
    </x:row>
    <x:row r="97" ht="94" customHeight="1">
      <x:c r="A97" s="109" t="str">
        <x:v>H12</x:v>
      </x:c>
      <x:c r="B97" s="109" t="str">
        <x:v>Demographic/regional context</x:v>
      </x:c>
      <x:c r="C97" s="109" t="str">
        <x:v>DeepSeekV4-C</x:v>
      </x:c>
      <x:c r="D97" s="127" t="n">
        <x:v>1</x:v>
      </x:c>
      <x:c r="E97" s="109" t="str">
        <x:v>maternal_ethnicity</x:v>
      </x:c>
      <x:c r="F97" s="109" t="str">
        <x:v>ADHD</x:v>
      </x:c>
      <x:c r="G97" s="109" t="str">
        <x:v>pre_exposure</x:v>
      </x:c>
      <x:c r="H97" s="109" t="str">
        <x:v>confounder</x:v>
      </x:c>
      <x:c r="I97" s="109" t="str">
        <x:v>historical_induction/raw_candidate_runs/runs_v2_deepseek_adhd/v2_deepseek-v4-pro_C.json#variables[22]</x:v>
      </x:c>
      <x:c r="J9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97" s="109" t="str">
        <x:v/>
      </x:c>
      <x:c r="L97" s="109"/>
    </x:row>
    <x:row r="98" ht="94" customHeight="1">
      <x:c r="A98" s="109" t="str">
        <x:v>I12</x:v>
      </x:c>
      <x:c r="B98" s="109" t="str">
        <x:v>Demographic/regional context</x:v>
      </x:c>
      <x:c r="C98" s="109" t="str">
        <x:v>Gemini3.1-A</x:v>
      </x:c>
      <x:c r="D98" s="127" t="n">
        <x:v>0</x:v>
      </x:c>
      <x:c r="E98" s="109" t="str">
        <x:v>—</x:v>
      </x:c>
      <x:c r="F98" s="109" t="str"/>
      <x:c r="G98" s="109" t="str"/>
      <x:c r="H98" s="109" t="str"/>
      <x:c r="I98" s="109" t="str"/>
      <x:c r="J98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98" s="109" t="str">
        <x:v/>
      </x:c>
      <x:c r="L98" s="109"/>
    </x:row>
    <x:row r="99" ht="94" customHeight="1">
      <x:c r="A99" s="109" t="str">
        <x:v>J12</x:v>
      </x:c>
      <x:c r="B99" s="109" t="str">
        <x:v>Demographic/regional context</x:v>
      </x:c>
      <x:c r="C99" s="109" t="str">
        <x:v>Gemini3.1-B</x:v>
      </x:c>
      <x:c r="D99" s="127" t="n">
        <x:v>0</x:v>
      </x:c>
      <x:c r="E99" s="109" t="str">
        <x:v>—</x:v>
      </x:c>
      <x:c r="F99" s="109" t="str"/>
      <x:c r="G99" s="109" t="str"/>
      <x:c r="H99" s="109" t="str"/>
      <x:c r="I99" s="109" t="str"/>
      <x:c r="J99" s="109" t="inlineStr">
        <x:is>
          <x:t>Maternal sleep disturbance does not match demographic or regional context. No qualifying example was identified; recall = 0.</x:t>
        </x:is>
      </x:c>
      <x:c r="K99" s="109" t="str">
        <x:v/>
      </x:c>
      <x:c r="L99" s="109"/>
    </x:row>
    <x:row r="100" ht="94" customHeight="1">
      <x:c r="A100" s="109" t="str">
        <x:v>K12</x:v>
      </x:c>
      <x:c r="B100" s="109" t="str">
        <x:v>Demographic/regional context</x:v>
      </x:c>
      <x:c r="C100" s="109" t="str">
        <x:v>Gemini3.1-C</x:v>
      </x:c>
      <x:c r="D100" s="127" t="n">
        <x:v>0</x:v>
      </x:c>
      <x:c r="E100" s="109" t="str">
        <x:v>—</x:v>
      </x:c>
      <x:c r="F100" s="109" t="str"/>
      <x:c r="G100" s="109" t="str"/>
      <x:c r="H100" s="109" t="str"/>
      <x:c r="I100" s="109" t="str"/>
      <x:c r="J100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100" s="109" t="str">
        <x:v/>
      </x:c>
      <x:c r="L100" s="109"/>
    </x:row>
    <x:row r="101" ht="94" customHeight="1">
      <x:c r="A101" s="109" t="str">
        <x:v>C13</x:v>
      </x:c>
      <x:c r="B101" s="109" t="str">
        <x:v>Maternal demographic context</x:v>
      </x:c>
      <x:c r="C101" s="109" t="str">
        <x:v>GPT5.5-A</x:v>
      </x:c>
      <x:c r="D101" s="127" t="n">
        <x:v>1</x:v>
      </x:c>
      <x:c r="E101" s="109" t="str">
        <x:v>maternal age at conception</x:v>
      </x:c>
      <x:c r="F101" s="109" t="str">
        <x:v>ASD</x:v>
      </x:c>
      <x:c r="G101" s="109" t="str">
        <x:v>pre_exposure</x:v>
      </x:c>
      <x:c r="H101" s="109" t="str">
        <x:v>confounder</x:v>
      </x:c>
      <x:c r="I101" s="109" t="str">
        <x:v>historical_induction/raw_candidate_runs/runs_v2_openai/v2_gpt-5.5_A.json#variables[17]</x:v>
      </x:c>
      <x:c r="J10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1" s="109" t="str">
        <x:v/>
      </x:c>
      <x:c r="L101" s="109"/>
    </x:row>
    <x:row r="102" ht="94" customHeight="1">
      <x:c r="A102" s="109" t="str">
        <x:v>D13</x:v>
      </x:c>
      <x:c r="B102" s="109" t="str">
        <x:v>Maternal demographic context</x:v>
      </x:c>
      <x:c r="C102" s="109" t="str">
        <x:v>GPT5.5-B</x:v>
      </x:c>
      <x:c r="D102" s="127" t="n">
        <x:v>1</x:v>
      </x:c>
      <x:c r="E102" s="109" t="str">
        <x:v>maternal age at conception</x:v>
      </x:c>
      <x:c r="F102" s="109" t="str">
        <x:v>ASD</x:v>
      </x:c>
      <x:c r="G102" s="109" t="str">
        <x:v>pre_exposure</x:v>
      </x:c>
      <x:c r="H102" s="109" t="str">
        <x:v>confounder</x:v>
      </x:c>
      <x:c r="I102" s="109" t="str">
        <x:v>historical_induction/raw_candidate_runs/runs_v2_openai/v2_gpt-5.5_B.json#variables[0]</x:v>
      </x:c>
      <x:c r="J10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2" s="109" t="str">
        <x:v/>
      </x:c>
      <x:c r="L102" s="109"/>
    </x:row>
    <x:row r="103" ht="94" customHeight="1">
      <x:c r="A103" s="109" t="str">
        <x:v>E13</x:v>
      </x:c>
      <x:c r="B103" s="109" t="str">
        <x:v>Maternal demographic context</x:v>
      </x:c>
      <x:c r="C103" s="109" t="str">
        <x:v>GPT5.5-C</x:v>
      </x:c>
      <x:c r="D103" s="127" t="n">
        <x:v>1</x:v>
      </x:c>
      <x:c r="E103" s="109" t="str">
        <x:v>advanced maternal age at conception</x:v>
      </x:c>
      <x:c r="F103" s="109" t="str">
        <x:v>ASD</x:v>
      </x:c>
      <x:c r="G103" s="109" t="str">
        <x:v>pre_exposure</x:v>
      </x:c>
      <x:c r="H103" s="109" t="str">
        <x:v>confounder</x:v>
      </x:c>
      <x:c r="I103" s="109" t="str">
        <x:v>historical_induction/raw_candidate_runs/runs_v2_openai/v2_gpt-5.5_C.json#variables[55]</x:v>
      </x:c>
      <x:c r="J10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3" s="109" t="str">
        <x:v/>
      </x:c>
      <x:c r="L103" s="109"/>
    </x:row>
    <x:row r="104" ht="94" customHeight="1">
      <x:c r="A104" s="109" t="str">
        <x:v>F13</x:v>
      </x:c>
      <x:c r="B104" s="109" t="str">
        <x:v>Maternal demographic context</x:v>
      </x:c>
      <x:c r="C104" s="109" t="str">
        <x:v>DeepSeekV4-A</x:v>
      </x:c>
      <x:c r="D104" s="127" t="n">
        <x:v>1</x:v>
      </x:c>
      <x:c r="E104" s="109" t="str">
        <x:v>Maternal age at delivery</x:v>
      </x:c>
      <x:c r="F104" s="109" t="str">
        <x:v>ASD</x:v>
      </x:c>
      <x:c r="G104" s="109" t="str">
        <x:v>pre_exposure</x:v>
      </x:c>
      <x:c r="H104" s="109" t="str">
        <x:v>confounder</x:v>
      </x:c>
      <x:c r="I104" s="109" t="str">
        <x:v>historical_induction/raw_candidate_runs/runs_v2_deepseek/v2_deepseek-v4-pro_A.json#variables[0]</x:v>
      </x:c>
      <x:c r="J10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4" s="109" t="str">
        <x:v/>
      </x:c>
      <x:c r="L104" s="109"/>
    </x:row>
    <x:row r="105" ht="94" customHeight="1">
      <x:c r="A105" s="109" t="str">
        <x:v>G13</x:v>
      </x:c>
      <x:c r="B105" s="109" t="str">
        <x:v>Maternal demographic context</x:v>
      </x:c>
      <x:c r="C105" s="109" t="str">
        <x:v>DeepSeekV4-B</x:v>
      </x:c>
      <x:c r="D105" s="127" t="n">
        <x:v>1</x:v>
      </x:c>
      <x:c r="E105" s="109" t="str">
        <x:v>Maternal age at conception</x:v>
      </x:c>
      <x:c r="F105" s="109" t="str">
        <x:v>ADHD</x:v>
      </x:c>
      <x:c r="G105" s="109" t="str">
        <x:v>pre_exposure</x:v>
      </x:c>
      <x:c r="H105" s="109" t="str">
        <x:v>confounder</x:v>
      </x:c>
      <x:c r="I105" s="109" t="str">
        <x:v>historical_induction/raw_candidate_runs/runs_v2_deepseek_adhd/v2_deepseek-v4-pro_B.json#variables[0]</x:v>
      </x:c>
      <x:c r="J10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5" s="109" t="str">
        <x:v/>
      </x:c>
      <x:c r="L105" s="109"/>
    </x:row>
    <x:row r="106" ht="94" customHeight="1">
      <x:c r="A106" s="109" t="str">
        <x:v>H13</x:v>
      </x:c>
      <x:c r="B106" s="109" t="str">
        <x:v>Maternal demographic context</x:v>
      </x:c>
      <x:c r="C106" s="109" t="str">
        <x:v>DeepSeekV4-C</x:v>
      </x:c>
      <x:c r="D106" s="127" t="n">
        <x:v>1</x:v>
      </x:c>
      <x:c r="E106" s="109" t="str">
        <x:v>Maternal age at conception</x:v>
      </x:c>
      <x:c r="F106" s="109" t="str">
        <x:v>ASD</x:v>
      </x:c>
      <x:c r="G106" s="109" t="str">
        <x:v>pre_exposure</x:v>
      </x:c>
      <x:c r="H106" s="109" t="str">
        <x:v>confounder</x:v>
      </x:c>
      <x:c r="I106" s="109" t="str">
        <x:v>historical_induction/raw_candidate_runs/runs_v2_deepseek/v2_deepseek-v4-pro_C.json#variables[0]</x:v>
      </x:c>
      <x:c r="J10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6" s="109" t="str">
        <x:v/>
      </x:c>
      <x:c r="L106" s="109"/>
    </x:row>
    <x:row r="107" ht="94" customHeight="1">
      <x:c r="A107" s="109" t="str">
        <x:v>I13</x:v>
      </x:c>
      <x:c r="B107" s="109" t="str">
        <x:v>Maternal demographic context</x:v>
      </x:c>
      <x:c r="C107" s="109" t="str">
        <x:v>Gemini3.1-A</x:v>
      </x:c>
      <x:c r="D107" s="127" t="n">
        <x:v>1</x:v>
      </x:c>
      <x:c r="E107" s="109" t="str">
        <x:v>maternal age at conception</x:v>
      </x:c>
      <x:c r="F107" s="109" t="str">
        <x:v>ASD</x:v>
      </x:c>
      <x:c r="G107" s="109" t="str">
        <x:v>pre_exposure</x:v>
      </x:c>
      <x:c r="H107" s="109" t="str">
        <x:v>confounder</x:v>
      </x:c>
      <x:c r="I107" s="109" t="str">
        <x:v>historical_induction/raw_candidate_runs/runs_v2_gemini/v2_gemini-3.1-pro-preview_A.json#variables[6]</x:v>
      </x:c>
      <x:c r="J10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7" s="109" t="str">
        <x:v/>
      </x:c>
      <x:c r="L107" s="109"/>
    </x:row>
    <x:row r="108" ht="94" customHeight="1">
      <x:c r="A108" s="109" t="str">
        <x:v>J13</x:v>
      </x:c>
      <x:c r="B108" s="109" t="str">
        <x:v>Maternal demographic context</x:v>
      </x:c>
      <x:c r="C108" s="109" t="str">
        <x:v>Gemini3.1-B</x:v>
      </x:c>
      <x:c r="D108" s="127" t="n">
        <x:v>1</x:v>
      </x:c>
      <x:c r="E108" s="109" t="str">
        <x:v>Maternal age at conception</x:v>
      </x:c>
      <x:c r="F108" s="109" t="str">
        <x:v>ASD</x:v>
      </x:c>
      <x:c r="G108" s="109" t="str">
        <x:v>pre_exposure</x:v>
      </x:c>
      <x:c r="H108" s="109" t="str">
        <x:v>confounder</x:v>
      </x:c>
      <x:c r="I108" s="109" t="str">
        <x:v>historical_induction/raw_candidate_runs/runs_v2_gemini/v2_gemini-3.1-pro-preview_B.json#variables[6]</x:v>
      </x:c>
      <x:c r="J10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8" s="109" t="str">
        <x:v/>
      </x:c>
      <x:c r="L108" s="109"/>
    </x:row>
    <x:row r="109" ht="94" customHeight="1">
      <x:c r="A109" s="109" t="str">
        <x:v>K13</x:v>
      </x:c>
      <x:c r="B109" s="109" t="str">
        <x:v>Maternal demographic context</x:v>
      </x:c>
      <x:c r="C109" s="109" t="str">
        <x:v>Gemini3.1-C</x:v>
      </x:c>
      <x:c r="D109" s="127" t="n">
        <x:v>1</x:v>
      </x:c>
      <x:c r="E109" s="109" t="str">
        <x:v>Maternal age</x:v>
      </x:c>
      <x:c r="F109" s="109" t="str">
        <x:v>ASD</x:v>
      </x:c>
      <x:c r="G109" s="109" t="str">
        <x:v>pre_exposure</x:v>
      </x:c>
      <x:c r="H109" s="109" t="str">
        <x:v>confounder</x:v>
      </x:c>
      <x:c r="I109" s="109" t="str">
        <x:v>historical_induction/raw_candidate_runs/runs_v2_gemini/v2_gemini-3.1-pro-preview_C.json#variables[3]</x:v>
      </x:c>
      <x:c r="J10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09" s="109" t="str">
        <x:v/>
      </x:c>
      <x:c r="L109" s="109"/>
    </x:row>
    <x:row r="110" ht="94" customHeight="1">
      <x:c r="A110" s="109" t="str">
        <x:v>C14</x:v>
      </x:c>
      <x:c r="B110" s="109" t="str">
        <x:v>Temporal context</x:v>
      </x:c>
      <x:c r="C110" s="109" t="str">
        <x:v>GPT5.5-A</x:v>
      </x:c>
      <x:c r="D110" s="127" t="n">
        <x:v>1</x:v>
      </x:c>
      <x:c r="E110" s="109" t="str">
        <x:v>calendar year of conception</x:v>
      </x:c>
      <x:c r="F110" s="109" t="str">
        <x:v>ADHD</x:v>
      </x:c>
      <x:c r="G110" s="109" t="str">
        <x:v>pre_exposure</x:v>
      </x:c>
      <x:c r="H110" s="109" t="str">
        <x:v>confounder</x:v>
      </x:c>
      <x:c r="I110" s="109" t="str">
        <x:v>historical_induction/raw_candidate_runs/runs_v2_openai_adhd/v2_gpt-5.5_A.json#variables[5]</x:v>
      </x:c>
      <x:c r="J11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0" s="109" t="str">
        <x:v/>
      </x:c>
      <x:c r="L110" s="109"/>
    </x:row>
    <x:row r="111" ht="94" customHeight="1">
      <x:c r="A111" s="109" t="str">
        <x:v>D14</x:v>
      </x:c>
      <x:c r="B111" s="109" t="str">
        <x:v>Temporal context</x:v>
      </x:c>
      <x:c r="C111" s="109" t="str">
        <x:v>GPT5.5-B</x:v>
      </x:c>
      <x:c r="D111" s="127" t="n">
        <x:v>1</x:v>
      </x:c>
      <x:c r="E111" s="109" t="str">
        <x:v>calendar year of conception</x:v>
      </x:c>
      <x:c r="F111" s="109" t="str">
        <x:v>ADHD</x:v>
      </x:c>
      <x:c r="G111" s="109" t="str">
        <x:v>pre_exposure</x:v>
      </x:c>
      <x:c r="H111" s="109" t="str">
        <x:v>confounder</x:v>
      </x:c>
      <x:c r="I111" s="109" t="str">
        <x:v>historical_induction/raw_candidate_runs/runs_v2_openai_adhd/v2_gpt-5.5_B.json#variables[24]</x:v>
      </x:c>
      <x:c r="J11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1" s="109" t="str">
        <x:v/>
      </x:c>
      <x:c r="L111" s="109"/>
    </x:row>
    <x:row r="112" ht="94" customHeight="1">
      <x:c r="A112" s="109" t="str">
        <x:v>E14</x:v>
      </x:c>
      <x:c r="B112" s="109" t="str">
        <x:v>Temporal context</x:v>
      </x:c>
      <x:c r="C112" s="109" t="str">
        <x:v>GPT5.5-C</x:v>
      </x:c>
      <x:c r="D112" s="127" t="n">
        <x:v>1</x:v>
      </x:c>
      <x:c r="E112" s="109" t="str">
        <x:v>calendar year of pregnancy</x:v>
      </x:c>
      <x:c r="F112" s="109" t="str">
        <x:v>ASD</x:v>
      </x:c>
      <x:c r="G112" s="109" t="str">
        <x:v>pre_exposure</x:v>
      </x:c>
      <x:c r="H112" s="109" t="str">
        <x:v>confounder</x:v>
      </x:c>
      <x:c r="I112" s="109" t="str">
        <x:v>historical_induction/raw_candidate_runs/runs_v2_openai/v2_gpt-5.5_C.json#variables[81]</x:v>
      </x:c>
      <x:c r="J11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2" s="109" t="str">
        <x:v/>
      </x:c>
      <x:c r="L112" s="109"/>
    </x:row>
    <x:row r="113" ht="94" customHeight="1">
      <x:c r="A113" s="109" t="str">
        <x:v>F14</x:v>
      </x:c>
      <x:c r="B113" s="109" t="str">
        <x:v>Temporal context</x:v>
      </x:c>
      <x:c r="C113" s="109" t="str">
        <x:v>DeepSeekV4-A</x:v>
      </x:c>
      <x:c r="D113" s="127" t="n">
        <x:v>1</x:v>
      </x:c>
      <x:c r="E113" s="109" t="str">
        <x:v>Season of conception</x:v>
      </x:c>
      <x:c r="F113" s="109" t="str">
        <x:v>ASD</x:v>
      </x:c>
      <x:c r="G113" s="109" t="str">
        <x:v>pre_exposure</x:v>
      </x:c>
      <x:c r="H113" s="109" t="str">
        <x:v>confounder</x:v>
      </x:c>
      <x:c r="I113" s="109" t="str">
        <x:v>historical_induction/raw_candidate_runs/runs_v2_deepseek/v2_deepseek-v4-pro_A.json#variables[44]</x:v>
      </x:c>
      <x:c r="J11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3" s="109" t="str">
        <x:v/>
      </x:c>
      <x:c r="L113" s="109"/>
    </x:row>
    <x:row r="114" ht="94" customHeight="1">
      <x:c r="A114" s="109" t="str">
        <x:v>G14</x:v>
      </x:c>
      <x:c r="B114" s="109" t="str">
        <x:v>Temporal context</x:v>
      </x:c>
      <x:c r="C114" s="109" t="str">
        <x:v>DeepSeekV4-B</x:v>
      </x:c>
      <x:c r="D114" s="127" t="n">
        <x:v>1</x:v>
      </x:c>
      <x:c r="E114" s="109" t="str">
        <x:v>Season of conception</x:v>
      </x:c>
      <x:c r="F114" s="109" t="str">
        <x:v>ASD</x:v>
      </x:c>
      <x:c r="G114" s="109" t="str">
        <x:v>pre_exposure</x:v>
      </x:c>
      <x:c r="H114" s="109" t="str">
        <x:v>confounder</x:v>
      </x:c>
      <x:c r="I114" s="109" t="str">
        <x:v>historical_induction/raw_candidate_runs/runs_v2_deepseek/v2_deepseek-v4-pro_B.json#variables[31]</x:v>
      </x:c>
      <x:c r="J11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4" s="109" t="str">
        <x:v/>
      </x:c>
      <x:c r="L114" s="109"/>
    </x:row>
    <x:row r="115" ht="94" customHeight="1">
      <x:c r="A115" s="109" t="str">
        <x:v>H14</x:v>
      </x:c>
      <x:c r="B115" s="109" t="str">
        <x:v>Temporal context</x:v>
      </x:c>
      <x:c r="C115" s="109" t="str">
        <x:v>DeepSeekV4-C</x:v>
      </x:c>
      <x:c r="D115" s="127" t="n">
        <x:v>1</x:v>
      </x:c>
      <x:c r="E115" s="109" t="str">
        <x:v>season_of_conception</x:v>
      </x:c>
      <x:c r="F115" s="109" t="str">
        <x:v>ADHD</x:v>
      </x:c>
      <x:c r="G115" s="109" t="str">
        <x:v>pre_exposure</x:v>
      </x:c>
      <x:c r="H115" s="109" t="str">
        <x:v>confounder</x:v>
      </x:c>
      <x:c r="I115" s="109" t="str">
        <x:v>historical_induction/raw_candidate_runs/runs_v2_deepseek_adhd/v2_deepseek-v4-pro_C.json#variables[35]</x:v>
      </x:c>
      <x:c r="J11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5" s="109" t="str">
        <x:v/>
      </x:c>
      <x:c r="L115" s="109"/>
    </x:row>
    <x:row r="116" ht="94" customHeight="1">
      <x:c r="A116" s="109" t="str">
        <x:v>I14</x:v>
      </x:c>
      <x:c r="B116" s="109" t="str">
        <x:v>Temporal context</x:v>
      </x:c>
      <x:c r="C116" s="109" t="str">
        <x:v>Gemini3.1-A</x:v>
      </x:c>
      <x:c r="D116" s="127" t="n">
        <x:v>0</x:v>
      </x:c>
      <x:c r="E116" s="109" t="str">
        <x:v>—</x:v>
      </x:c>
      <x:c r="F116" s="109" t="str"/>
      <x:c r="G116" s="109" t="str"/>
      <x:c r="H116" s="109" t="str"/>
      <x:c r="I116" s="109" t="str"/>
      <x:c r="J116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116" s="109" t="str">
        <x:v/>
      </x:c>
      <x:c r="L116" s="109"/>
    </x:row>
    <x:row r="117" ht="94" customHeight="1">
      <x:c r="A117" s="109" t="str">
        <x:v>J14</x:v>
      </x:c>
      <x:c r="B117" s="109" t="str">
        <x:v>Temporal context</x:v>
      </x:c>
      <x:c r="C117" s="109" t="str">
        <x:v>Gemini3.1-B</x:v>
      </x:c>
      <x:c r="D117" s="127" t="n">
        <x:v>0</x:v>
      </x:c>
      <x:c r="E117" s="109" t="str">
        <x:v>—</x:v>
      </x:c>
      <x:c r="F117" s="109" t="str"/>
      <x:c r="G117" s="109" t="str"/>
      <x:c r="H117" s="109" t="str"/>
      <x:c r="I117" s="109" t="str"/>
      <x:c r="J117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117" s="109" t="str">
        <x:v/>
      </x:c>
      <x:c r="L117" s="109"/>
    </x:row>
    <x:row r="118" ht="94" customHeight="1">
      <x:c r="A118" s="109" t="str">
        <x:v>K14</x:v>
      </x:c>
      <x:c r="B118" s="109" t="str">
        <x:v>Temporal context</x:v>
      </x:c>
      <x:c r="C118" s="109" t="str">
        <x:v>Gemini3.1-C</x:v>
      </x:c>
      <x:c r="D118" s="127" t="n">
        <x:v>0</x:v>
      </x:c>
      <x:c r="E118" s="109" t="str">
        <x:v>—</x:v>
      </x:c>
      <x:c r="F118" s="109" t="str"/>
      <x:c r="G118" s="109" t="str"/>
      <x:c r="H118" s="109" t="str"/>
      <x:c r="I118" s="109" t="str"/>
      <x:c r="J118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118" s="109" t="str">
        <x:v/>
      </x:c>
      <x:c r="L118" s="109"/>
    </x:row>
    <x:row r="119" ht="94" customHeight="1">
      <x:c r="A119" s="109" t="str">
        <x:v>C15</x:v>
      </x:c>
      <x:c r="B119" s="109" t="str">
        <x:v>Family structure</x:v>
      </x:c>
      <x:c r="C119" s="109" t="str">
        <x:v>GPT5.5-A</x:v>
      </x:c>
      <x:c r="D119" s="127" t="n">
        <x:v>1</x:v>
      </x:c>
      <x:c r="E119" s="109" t="str">
        <x:v>maternal marital or partnership status at conception</x:v>
      </x:c>
      <x:c r="F119" s="109" t="str">
        <x:v>ASD</x:v>
      </x:c>
      <x:c r="G119" s="109" t="str">
        <x:v>pre_exposure</x:v>
      </x:c>
      <x:c r="H119" s="109" t="str">
        <x:v>confounder</x:v>
      </x:c>
      <x:c r="I119" s="109" t="str">
        <x:v>historical_induction/raw_candidate_runs/runs_v2_openai/v2_gpt-5.5_A.json#variables[28]</x:v>
      </x:c>
      <x:c r="J11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19" s="109" t="str">
        <x:v/>
      </x:c>
      <x:c r="L119" s="109"/>
    </x:row>
    <x:row r="120" ht="94" customHeight="1">
      <x:c r="A120" s="109" t="str">
        <x:v>D15</x:v>
      </x:c>
      <x:c r="B120" s="109" t="str">
        <x:v>Family structure</x:v>
      </x:c>
      <x:c r="C120" s="109" t="str">
        <x:v>GPT5.5-B</x:v>
      </x:c>
      <x:c r="D120" s="127" t="n">
        <x:v>1</x:v>
      </x:c>
      <x:c r="E120" s="109" t="str">
        <x:v>marital or cohabitation status at conception</x:v>
      </x:c>
      <x:c r="F120" s="109" t="str">
        <x:v>ADHD</x:v>
      </x:c>
      <x:c r="G120" s="109" t="str">
        <x:v>pre_exposure</x:v>
      </x:c>
      <x:c r="H120" s="109" t="str">
        <x:v>confounder</x:v>
      </x:c>
      <x:c r="I120" s="109" t="str">
        <x:v>historical_induction/raw_candidate_runs/runs_v2_openai_adhd/v2_gpt-5.5_B.json#variables[10]</x:v>
      </x:c>
      <x:c r="J12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0" s="109" t="str">
        <x:v/>
      </x:c>
      <x:c r="L120" s="109"/>
    </x:row>
    <x:row r="121" ht="94" customHeight="1">
      <x:c r="A121" s="109" t="str">
        <x:v>E15</x:v>
      </x:c>
      <x:c r="B121" s="109" t="str">
        <x:v>Family structure</x:v>
      </x:c>
      <x:c r="C121" s="109" t="str">
        <x:v>GPT5.5-C</x:v>
      </x:c>
      <x:c r="D121" s="127" t="n">
        <x:v>1</x:v>
      </x:c>
      <x:c r="E121" s="109" t="str">
        <x:v>marital or cohabitation status before pregnancy</x:v>
      </x:c>
      <x:c r="F121" s="109" t="str">
        <x:v>ASD</x:v>
      </x:c>
      <x:c r="G121" s="109" t="str">
        <x:v>pre_exposure</x:v>
      </x:c>
      <x:c r="H121" s="109" t="str">
        <x:v>confounder</x:v>
      </x:c>
      <x:c r="I121" s="109" t="str">
        <x:v>historical_induction/raw_candidate_runs/runs_v2_openai/v2_gpt-5.5_C.json#variables[75]</x:v>
      </x:c>
      <x:c r="J12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1" s="109" t="str">
        <x:v/>
      </x:c>
      <x:c r="L121" s="109"/>
    </x:row>
    <x:row r="122" ht="94" customHeight="1">
      <x:c r="A122" s="109" t="str">
        <x:v>F15</x:v>
      </x:c>
      <x:c r="B122" s="109" t="str">
        <x:v>Family structure</x:v>
      </x:c>
      <x:c r="C122" s="109" t="str">
        <x:v>DeepSeekV4-A</x:v>
      </x:c>
      <x:c r="D122" s="127" t="n">
        <x:v>1</x:v>
      </x:c>
      <x:c r="E122" s="109" t="str">
        <x:v>Marital status</x:v>
      </x:c>
      <x:c r="F122" s="109" t="str">
        <x:v>ASD</x:v>
      </x:c>
      <x:c r="G122" s="109" t="str">
        <x:v>pre_exposure</x:v>
      </x:c>
      <x:c r="H122" s="109" t="str">
        <x:v>confounder</x:v>
      </x:c>
      <x:c r="I122" s="109" t="str">
        <x:v>historical_induction/raw_candidate_runs/runs_v2_deepseek/v2_deepseek-v4-pro_A.json#variables[6]</x:v>
      </x:c>
      <x:c r="J12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2" s="109" t="str">
        <x:v/>
      </x:c>
      <x:c r="L122" s="109"/>
    </x:row>
    <x:row r="123" ht="94" customHeight="1">
      <x:c r="A123" s="109" t="str">
        <x:v>G15</x:v>
      </x:c>
      <x:c r="B123" s="109" t="str">
        <x:v>Family structure</x:v>
      </x:c>
      <x:c r="C123" s="109" t="str">
        <x:v>DeepSeekV4-B</x:v>
      </x:c>
      <x:c r="D123" s="127" t="n">
        <x:v>1</x:v>
      </x:c>
      <x:c r="E123" s="109" t="str">
        <x:v>Maternal marital status/partner support</x:v>
      </x:c>
      <x:c r="F123" s="109" t="str">
        <x:v>ADHD</x:v>
      </x:c>
      <x:c r="G123" s="109" t="str">
        <x:v>pre_exposure</x:v>
      </x:c>
      <x:c r="H123" s="109" t="str">
        <x:v>confounder</x:v>
      </x:c>
      <x:c r="I123" s="109" t="str">
        <x:v>historical_induction/raw_candidate_runs/runs_v2_deepseek_adhd/v2_deepseek-v4-pro_B.json#variables[5]</x:v>
      </x:c>
      <x:c r="J12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3" s="109" t="str">
        <x:v/>
      </x:c>
      <x:c r="L123" s="109"/>
    </x:row>
    <x:row r="124" ht="94" customHeight="1">
      <x:c r="A124" s="109" t="str">
        <x:v>H15</x:v>
      </x:c>
      <x:c r="B124" s="109" t="str">
        <x:v>Family structure</x:v>
      </x:c>
      <x:c r="C124" s="109" t="str">
        <x:v>DeepSeekV4-C</x:v>
      </x:c>
      <x:c r="D124" s="127" t="n">
        <x:v>1</x:v>
      </x:c>
      <x:c r="E124" s="109" t="str">
        <x:v>maternal_marital_status</x:v>
      </x:c>
      <x:c r="F124" s="109" t="str">
        <x:v>ADHD</x:v>
      </x:c>
      <x:c r="G124" s="109" t="str">
        <x:v>pre_exposure</x:v>
      </x:c>
      <x:c r="H124" s="109" t="str">
        <x:v>confounder</x:v>
      </x:c>
      <x:c r="I124" s="109" t="str">
        <x:v>historical_induction/raw_candidate_runs/runs_v2_deepseek_adhd/v2_deepseek-v4-pro_C.json#variables[24]</x:v>
      </x:c>
      <x:c r="J12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4" s="109" t="str">
        <x:v/>
      </x:c>
      <x:c r="L124" s="109"/>
    </x:row>
    <x:row r="125" ht="94" customHeight="1">
      <x:c r="A125" s="109" t="str">
        <x:v>I15</x:v>
      </x:c>
      <x:c r="B125" s="109" t="str">
        <x:v>Family structure</x:v>
      </x:c>
      <x:c r="C125" s="109" t="str">
        <x:v>Gemini3.1-A</x:v>
      </x:c>
      <x:c r="D125" s="127" t="n">
        <x:v>0</x:v>
      </x:c>
      <x:c r="E125" s="109" t="str">
        <x:v>—</x:v>
      </x:c>
      <x:c r="F125" s="109" t="str"/>
      <x:c r="G125" s="109" t="str"/>
      <x:c r="H125" s="109" t="str"/>
      <x:c r="I125" s="109" t="str"/>
      <x:c r="J125" s="109" t="str">
        <x:v>Matching construct meaning and maternal/family subject; pre-exposure candidate timing in the raw output, checked against the variable wording. No qualifying candidate found for this construct in the paired ASD/ADHD outputs.</x:v>
      </x:c>
      <x:c r="K125" s="109" t="str">
        <x:v/>
      </x:c>
      <x:c r="L125" s="109"/>
    </x:row>
    <x:row r="126" ht="94" customHeight="1">
      <x:c r="A126" s="109" t="str">
        <x:v>J15</x:v>
      </x:c>
      <x:c r="B126" s="109" t="str">
        <x:v>Family structure</x:v>
      </x:c>
      <x:c r="C126" s="109" t="str">
        <x:v>Gemini3.1-B</x:v>
      </x:c>
      <x:c r="D126" s="127" t="n">
        <x:v>1</x:v>
      </x:c>
      <x:c r="E126" s="109" t="str">
        <x:v>Marital status / Family structure</x:v>
      </x:c>
      <x:c r="F126" s="109" t="str">
        <x:v>ADHD</x:v>
      </x:c>
      <x:c r="G126" s="109" t="str">
        <x:v>pre_exposure</x:v>
      </x:c>
      <x:c r="H126" s="109" t="str">
        <x:v>confounder</x:v>
      </x:c>
      <x:c r="I126" s="109" t="str">
        <x:v>historical_induction/raw_candidate_runs/runs_v2_gemini_adhd/v2_gemini-3.1-pro-preview_B.json#variables[22]</x:v>
      </x:c>
      <x:c r="J12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6" s="109" t="str">
        <x:v/>
      </x:c>
      <x:c r="L126" s="109"/>
    </x:row>
    <x:row r="127" ht="94" customHeight="1">
      <x:c r="A127" s="109" t="str">
        <x:v>K15</x:v>
      </x:c>
      <x:c r="B127" s="109" t="str">
        <x:v>Family structure</x:v>
      </x:c>
      <x:c r="C127" s="109" t="str">
        <x:v>Gemini3.1-C</x:v>
      </x:c>
      <x:c r="D127" s="127" t="n">
        <x:v>1</x:v>
      </x:c>
      <x:c r="E127" s="109" t="str">
        <x:v>Maternal marital status</x:v>
      </x:c>
      <x:c r="F127" s="109" t="str">
        <x:v>ADHD</x:v>
      </x:c>
      <x:c r="G127" s="109" t="str">
        <x:v>pre_exposure</x:v>
      </x:c>
      <x:c r="H127" s="109" t="str">
        <x:v>confounder</x:v>
      </x:c>
      <x:c r="I127" s="109" t="str">
        <x:v>historical_induction/raw_candidate_runs/runs_v2_gemini_adhd/v2_gemini-3.1-pro-preview_C.json#variables[22]</x:v>
      </x:c>
      <x:c r="J12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7" s="109" t="str">
        <x:v/>
      </x:c>
      <x:c r="L127" s="109"/>
    </x:row>
    <x:row r="128" ht="94" customHeight="1">
      <x:c r="A128" s="109" t="str">
        <x:v>C16</x:v>
      </x:c>
      <x:c r="B128" s="109" t="str">
        <x:v>Reproductive history/parity</x:v>
      </x:c>
      <x:c r="C128" s="109" t="str">
        <x:v>GPT5.5-A</x:v>
      </x:c>
      <x:c r="D128" s="127" t="n">
        <x:v>1</x:v>
      </x:c>
      <x:c r="E128" s="109" t="str">
        <x:v>gravidity before index pregnancy</x:v>
      </x:c>
      <x:c r="F128" s="109" t="str">
        <x:v>ASD</x:v>
      </x:c>
      <x:c r="G128" s="109" t="str">
        <x:v>pre_exposure</x:v>
      </x:c>
      <x:c r="H128" s="109" t="str">
        <x:v>confounder</x:v>
      </x:c>
      <x:c r="I128" s="109" t="str">
        <x:v>historical_induction/raw_candidate_runs/runs_v2_openai/v2_gpt-5.5_A.json#variables[41]</x:v>
      </x:c>
      <x:c r="J12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8" s="109" t="str">
        <x:v/>
      </x:c>
      <x:c r="L128" s="109"/>
    </x:row>
    <x:row r="129" ht="94" customHeight="1">
      <x:c r="A129" s="109" t="str">
        <x:v>D16</x:v>
      </x:c>
      <x:c r="B129" s="109" t="str">
        <x:v>Reproductive history/parity</x:v>
      </x:c>
      <x:c r="C129" s="109" t="str">
        <x:v>GPT5.5-B</x:v>
      </x:c>
      <x:c r="D129" s="127" t="n">
        <x:v>1</x:v>
      </x:c>
      <x:c r="E129" s="109" t="str">
        <x:v>gravidity</x:v>
      </x:c>
      <x:c r="F129" s="109" t="str">
        <x:v>ASD</x:v>
      </x:c>
      <x:c r="G129" s="109" t="str">
        <x:v>pre_exposure</x:v>
      </x:c>
      <x:c r="H129" s="109" t="str">
        <x:v>confounder</x:v>
      </x:c>
      <x:c r="I129" s="109" t="str">
        <x:v>historical_induction/raw_candidate_runs/runs_v2_openai/v2_gpt-5.5_B.json#variables[67]</x:v>
      </x:c>
      <x:c r="J12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29" s="109" t="str">
        <x:v/>
      </x:c>
      <x:c r="L129" s="109"/>
    </x:row>
    <x:row r="130" ht="94" customHeight="1">
      <x:c r="A130" s="109" t="str">
        <x:v>E16</x:v>
      </x:c>
      <x:c r="B130" s="109" t="str">
        <x:v>Reproductive history/parity</x:v>
      </x:c>
      <x:c r="C130" s="109" t="str">
        <x:v>GPT5.5-C</x:v>
      </x:c>
      <x:c r="D130" s="127" t="n">
        <x:v>1</x:v>
      </x:c>
      <x:c r="E130" s="109" t="str">
        <x:v>gravidity before index pregnancy</x:v>
      </x:c>
      <x:c r="F130" s="109" t="str">
        <x:v>ASD</x:v>
      </x:c>
      <x:c r="G130" s="109" t="str">
        <x:v>pre_exposure</x:v>
      </x:c>
      <x:c r="H130" s="109" t="str">
        <x:v>confounder</x:v>
      </x:c>
      <x:c r="I130" s="109" t="str">
        <x:v>historical_induction/raw_candidate_runs/runs_v2_openai/v2_gpt-5.5_C.json#variables[58]</x:v>
      </x:c>
      <x:c r="J13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0" s="109" t="str">
        <x:v/>
      </x:c>
      <x:c r="L130" s="109"/>
    </x:row>
    <x:row r="131" ht="94" customHeight="1">
      <x:c r="A131" s="109" t="str">
        <x:v>F16</x:v>
      </x:c>
      <x:c r="B131" s="109" t="str">
        <x:v>Reproductive history/parity</x:v>
      </x:c>
      <x:c r="C131" s="109" t="str">
        <x:v>DeepSeekV4-A</x:v>
      </x:c>
      <x:c r="D131" s="127" t="n">
        <x:v>1</x:v>
      </x:c>
      <x:c r="E131" s="109" t="str">
        <x:v>Parity (number of previous live births)</x:v>
      </x:c>
      <x:c r="F131" s="109" t="str">
        <x:v>ASD</x:v>
      </x:c>
      <x:c r="G131" s="109" t="str">
        <x:v>pre_exposure</x:v>
      </x:c>
      <x:c r="H131" s="109" t="str">
        <x:v>confounder</x:v>
      </x:c>
      <x:c r="I131" s="109" t="str">
        <x:v>historical_induction/raw_candidate_runs/runs_v2_deepseek/v2_deepseek-v4-pro_A.json#variables[34]</x:v>
      </x:c>
      <x:c r="J13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1" s="109" t="str">
        <x:v/>
      </x:c>
      <x:c r="L131" s="109"/>
    </x:row>
    <x:row r="132" ht="94" customHeight="1">
      <x:c r="A132" s="109" t="str">
        <x:v>G16</x:v>
      </x:c>
      <x:c r="B132" s="109" t="str">
        <x:v>Reproductive history/parity</x:v>
      </x:c>
      <x:c r="C132" s="109" t="str">
        <x:v>DeepSeekV4-B</x:v>
      </x:c>
      <x:c r="D132" s="127" t="n">
        <x:v>1</x:v>
      </x:c>
      <x:c r="E132" s="109" t="str">
        <x:v>Parity</x:v>
      </x:c>
      <x:c r="F132" s="109" t="str">
        <x:v>ASD</x:v>
      </x:c>
      <x:c r="G132" s="109" t="str">
        <x:v>pre_exposure</x:v>
      </x:c>
      <x:c r="H132" s="109" t="str">
        <x:v>confounder</x:v>
      </x:c>
      <x:c r="I132" s="109" t="str">
        <x:v>historical_induction/raw_candidate_runs/runs_v2_deepseek/v2_deepseek-v4-pro_B.json#variables[17]</x:v>
      </x:c>
      <x:c r="J13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2" s="109" t="str">
        <x:v/>
      </x:c>
      <x:c r="L132" s="109"/>
    </x:row>
    <x:row r="133" ht="94" customHeight="1">
      <x:c r="A133" s="109" t="str">
        <x:v>H16</x:v>
      </x:c>
      <x:c r="B133" s="109" t="str">
        <x:v>Reproductive history/parity</x:v>
      </x:c>
      <x:c r="C133" s="109" t="str">
        <x:v>DeepSeekV4-C</x:v>
      </x:c>
      <x:c r="D133" s="127" t="n">
        <x:v>1</x:v>
      </x:c>
      <x:c r="E133" s="109" t="str">
        <x:v>parity</x:v>
      </x:c>
      <x:c r="F133" s="109" t="str">
        <x:v>ADHD</x:v>
      </x:c>
      <x:c r="G133" s="109" t="str">
        <x:v>pre_exposure</x:v>
      </x:c>
      <x:c r="H133" s="109" t="str">
        <x:v>confounder</x:v>
      </x:c>
      <x:c r="I133" s="109" t="str">
        <x:v>historical_induction/raw_candidate_runs/runs_v2_deepseek_adhd/v2_deepseek-v4-pro_C.json#variables[4]</x:v>
      </x:c>
      <x:c r="J13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3" s="109" t="str">
        <x:v/>
      </x:c>
      <x:c r="L133" s="109"/>
    </x:row>
    <x:row r="134" ht="94" customHeight="1">
      <x:c r="A134" s="109" t="str">
        <x:v>I16</x:v>
      </x:c>
      <x:c r="B134" s="109" t="str">
        <x:v>Reproductive history/parity</x:v>
      </x:c>
      <x:c r="C134" s="109" t="str">
        <x:v>Gemini3.1-A</x:v>
      </x:c>
      <x:c r="D134" s="127" t="n">
        <x:v>1</x:v>
      </x:c>
      <x:c r="E134" s="109" t="str">
        <x:v>Parity (number of previous pregnancies)</x:v>
      </x:c>
      <x:c r="F134" s="109" t="str">
        <x:v>ADHD</x:v>
      </x:c>
      <x:c r="G134" s="109" t="str">
        <x:v>pre_exposure</x:v>
      </x:c>
      <x:c r="H134" s="109" t="str">
        <x:v>confounder</x:v>
      </x:c>
      <x:c r="I134" s="109" t="str">
        <x:v>historical_induction/raw_candidate_runs/runs_v2_gemini_adhd/v2_gemini-3.1-pro-preview_A.json#variables[13]</x:v>
      </x:c>
      <x:c r="J13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4" s="109" t="str">
        <x:v/>
      </x:c>
      <x:c r="L134" s="109"/>
    </x:row>
    <x:row r="135" ht="94" customHeight="1">
      <x:c r="A135" s="109" t="str">
        <x:v>J16</x:v>
      </x:c>
      <x:c r="B135" s="109" t="str">
        <x:v>Reproductive history/parity</x:v>
      </x:c>
      <x:c r="C135" s="109" t="str">
        <x:v>Gemini3.1-B</x:v>
      </x:c>
      <x:c r="D135" s="127" t="n">
        <x:v>1</x:v>
      </x:c>
      <x:c r="E135" s="109" t="str">
        <x:v>Parity</x:v>
      </x:c>
      <x:c r="F135" s="109" t="str">
        <x:v>ADHD</x:v>
      </x:c>
      <x:c r="G135" s="109" t="str">
        <x:v>pre_exposure</x:v>
      </x:c>
      <x:c r="H135" s="109" t="str">
        <x:v>confounder</x:v>
      </x:c>
      <x:c r="I135" s="109" t="str">
        <x:v>historical_induction/raw_candidate_runs/runs_v2_gemini_adhd/v2_gemini-3.1-pro-preview_B.json#variables[16]</x:v>
      </x:c>
      <x:c r="J13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5" s="109" t="str">
        <x:v/>
      </x:c>
      <x:c r="L135" s="109"/>
    </x:row>
    <x:row r="136" ht="94" customHeight="1">
      <x:c r="A136" s="109" t="str">
        <x:v>K16</x:v>
      </x:c>
      <x:c r="B136" s="109" t="str">
        <x:v>Reproductive history/parity</x:v>
      </x:c>
      <x:c r="C136" s="109" t="str">
        <x:v>Gemini3.1-C</x:v>
      </x:c>
      <x:c r="D136" s="127" t="n">
        <x:v>1</x:v>
      </x:c>
      <x:c r="E136" s="109" t="str">
        <x:v>Parity</x:v>
      </x:c>
      <x:c r="F136" s="109" t="str">
        <x:v>ASD</x:v>
      </x:c>
      <x:c r="G136" s="109" t="str">
        <x:v>pre_exposure</x:v>
      </x:c>
      <x:c r="H136" s="109" t="str">
        <x:v>confounder</x:v>
      </x:c>
      <x:c r="I136" s="109" t="str">
        <x:v>historical_induction/raw_candidate_runs/runs_v2_gemini/v2_gemini-3.1-pro-preview_C.json#variables[15]</x:v>
      </x:c>
      <x:c r="J13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6" s="109" t="str">
        <x:v/>
      </x:c>
      <x:c r="L136" s="109"/>
    </x:row>
    <x:row r="137" ht="94" customHeight="1">
      <x:c r="A137" s="109" t="str">
        <x:v>C17</x:v>
      </x:c>
      <x:c r="B137" s="109" t="str">
        <x:v>Lifestyle/substance use</x:v>
      </x:c>
      <x:c r="C137" s="109" t="str">
        <x:v>GPT5.5-A</x:v>
      </x:c>
      <x:c r="D137" s="127" t="n">
        <x:v>1</x:v>
      </x:c>
      <x:c r="E137" s="109" t="str">
        <x:v>maternal alcohol use before first paracetamol use in pregnancy</x:v>
      </x:c>
      <x:c r="F137" s="109" t="str">
        <x:v>ASD</x:v>
      </x:c>
      <x:c r="G137" s="109" t="str">
        <x:v>pre_exposure</x:v>
      </x:c>
      <x:c r="H137" s="109" t="str">
        <x:v>confounder</x:v>
      </x:c>
      <x:c r="I137" s="109" t="str">
        <x:v>historical_induction/raw_candidate_runs/runs_v2_openai/v2_gpt-5.5_A.json#variables[80]</x:v>
      </x:c>
      <x:c r="J13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7" s="109" t="str">
        <x:v/>
      </x:c>
      <x:c r="L137" s="109"/>
    </x:row>
    <x:row r="138" ht="94" customHeight="1">
      <x:c r="A138" s="109" t="str">
        <x:v>D17</x:v>
      </x:c>
      <x:c r="B138" s="109" t="str">
        <x:v>Lifestyle/substance use</x:v>
      </x:c>
      <x:c r="C138" s="109" t="str">
        <x:v>GPT5.5-B</x:v>
      </x:c>
      <x:c r="D138" s="127" t="n">
        <x:v>1</x:v>
      </x:c>
      <x:c r="E138" s="109" t="str">
        <x:v>maternal alcohol use before paracetamol initiation</x:v>
      </x:c>
      <x:c r="F138" s="109" t="str">
        <x:v>ADHD</x:v>
      </x:c>
      <x:c r="G138" s="109" t="str">
        <x:v>pre_exposure</x:v>
      </x:c>
      <x:c r="H138" s="109" t="str">
        <x:v>confounder</x:v>
      </x:c>
      <x:c r="I138" s="109" t="str">
        <x:v>historical_induction/raw_candidate_runs/runs_v2_openai_adhd/v2_gpt-5.5_B.json#variables[83]</x:v>
      </x:c>
      <x:c r="J13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8" s="109" t="str">
        <x:v/>
      </x:c>
      <x:c r="L138" s="109"/>
    </x:row>
    <x:row r="139" ht="94" customHeight="1">
      <x:c r="A139" s="109" t="str">
        <x:v>E17</x:v>
      </x:c>
      <x:c r="B139" s="109" t="str">
        <x:v>Lifestyle/substance use</x:v>
      </x:c>
      <x:c r="C139" s="109" t="str">
        <x:v>GPT5.5-C</x:v>
      </x:c>
      <x:c r="D139" s="127" t="n">
        <x:v>1</x:v>
      </x:c>
      <x:c r="E139" s="109" t="str">
        <x:v>maternal alcohol use before or during early pregnancy before paracetamol use</x:v>
      </x:c>
      <x:c r="F139" s="109" t="str">
        <x:v>ASD</x:v>
      </x:c>
      <x:c r="G139" s="109" t="str">
        <x:v>pre_exposure</x:v>
      </x:c>
      <x:c r="H139" s="109" t="str">
        <x:v>confounder</x:v>
      </x:c>
      <x:c r="I139" s="109" t="str">
        <x:v>historical_induction/raw_candidate_runs/runs_v2_openai/v2_gpt-5.5_C.json#variables[93]</x:v>
      </x:c>
      <x:c r="J13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39" s="109" t="str">
        <x:v/>
      </x:c>
      <x:c r="L139" s="109"/>
    </x:row>
    <x:row r="140" ht="94" customHeight="1">
      <x:c r="A140" s="109" t="str">
        <x:v>F17</x:v>
      </x:c>
      <x:c r="B140" s="109" t="str">
        <x:v>Lifestyle/substance use</x:v>
      </x:c>
      <x:c r="C140" s="109" t="str">
        <x:v>DeepSeekV4-A</x:v>
      </x:c>
      <x:c r="D140" s="127" t="n">
        <x:v>1</x:v>
      </x:c>
      <x:c r="E140" s="109" t="str">
        <x:v>Maternal alcohol consumption during pregnancy</x:v>
      </x:c>
      <x:c r="F140" s="109" t="str">
        <x:v>ASD</x:v>
      </x:c>
      <x:c r="G140" s="109" t="str">
        <x:v>pre_exposure</x:v>
      </x:c>
      <x:c r="H140" s="109" t="str">
        <x:v>confounder</x:v>
      </x:c>
      <x:c r="I140" s="109" t="str">
        <x:v>historical_induction/raw_candidate_runs/runs_v2_deepseek/v2_deepseek-v4-pro_A.json#variables[10]</x:v>
      </x:c>
      <x:c r="J14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0" s="109" t="str">
        <x:v/>
      </x:c>
      <x:c r="L140" s="109"/>
    </x:row>
    <x:row r="141" ht="94" customHeight="1">
      <x:c r="A141" s="109" t="str">
        <x:v>G17</x:v>
      </x:c>
      <x:c r="B141" s="109" t="str">
        <x:v>Lifestyle/substance use</x:v>
      </x:c>
      <x:c r="C141" s="109" t="str">
        <x:v>DeepSeekV4-B</x:v>
      </x:c>
      <x:c r="D141" s="127" t="n">
        <x:v>1</x:v>
      </x:c>
      <x:c r="E141" s="109" t="str">
        <x:v>Maternal alcohol consumption before/during early pregnancy</x:v>
      </x:c>
      <x:c r="F141" s="109" t="str">
        <x:v>ADHD</x:v>
      </x:c>
      <x:c r="G141" s="109" t="str">
        <x:v>pre_exposure</x:v>
      </x:c>
      <x:c r="H141" s="109" t="str">
        <x:v>confounder</x:v>
      </x:c>
      <x:c r="I141" s="109" t="str">
        <x:v>historical_induction/raw_candidate_runs/runs_v2_deepseek_adhd/v2_deepseek-v4-pro_B.json#variables[16]</x:v>
      </x:c>
      <x:c r="J14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1" s="109" t="str">
        <x:v/>
      </x:c>
      <x:c r="L141" s="109"/>
    </x:row>
    <x:row r="142" ht="94" customHeight="1">
      <x:c r="A142" s="109" t="str">
        <x:v>H17</x:v>
      </x:c>
      <x:c r="B142" s="109" t="str">
        <x:v>Lifestyle/substance use</x:v>
      </x:c>
      <x:c r="C142" s="109" t="str">
        <x:v>DeepSeekV4-C</x:v>
      </x:c>
      <x:c r="D142" s="127" t="n">
        <x:v>1</x:v>
      </x:c>
      <x:c r="E142" s="109" t="str">
        <x:v>Maternal alcohol consumption during pregnancy</x:v>
      </x:c>
      <x:c r="F142" s="109" t="str">
        <x:v>ASD</x:v>
      </x:c>
      <x:c r="G142" s="109" t="str">
        <x:v>pre_exposure</x:v>
      </x:c>
      <x:c r="H142" s="109" t="str">
        <x:v>confounder</x:v>
      </x:c>
      <x:c r="I142" s="109" t="str">
        <x:v>historical_induction/raw_candidate_runs/runs_v2_deepseek/v2_deepseek-v4-pro_C.json#variables[9]</x:v>
      </x:c>
      <x:c r="J14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2" s="109" t="str">
        <x:v/>
      </x:c>
      <x:c r="L142" s="109"/>
    </x:row>
    <x:row r="143" ht="94" customHeight="1">
      <x:c r="A143" s="109" t="str">
        <x:v>I17</x:v>
      </x:c>
      <x:c r="B143" s="109" t="str">
        <x:v>Lifestyle/substance use</x:v>
      </x:c>
      <x:c r="C143" s="109" t="str">
        <x:v>Gemini3.1-A</x:v>
      </x:c>
      <x:c r="D143" s="127" t="n">
        <x:v>1</x:v>
      </x:c>
      <x:c r="E143" s="109" t="str">
        <x:v>Maternal alcohol consumption before or during early pregnancy</x:v>
      </x:c>
      <x:c r="F143" s="109" t="str">
        <x:v>ADHD</x:v>
      </x:c>
      <x:c r="G143" s="109" t="str">
        <x:v>pre_exposure</x:v>
      </x:c>
      <x:c r="H143" s="109" t="str">
        <x:v>confounder</x:v>
      </x:c>
      <x:c r="I143" s="109" t="str">
        <x:v>historical_induction/raw_candidate_runs/runs_v2_gemini_adhd/v2_gemini-3.1-pro-preview_A.json#variables[10]</x:v>
      </x:c>
      <x:c r="J14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3" s="109" t="str">
        <x:v/>
      </x:c>
      <x:c r="L143" s="109"/>
    </x:row>
    <x:row r="144" ht="94" customHeight="1">
      <x:c r="A144" s="109" t="str">
        <x:v>J17</x:v>
      </x:c>
      <x:c r="B144" s="109" t="str">
        <x:v>Lifestyle/substance use</x:v>
      </x:c>
      <x:c r="C144" s="109" t="str">
        <x:v>Gemini3.1-B</x:v>
      </x:c>
      <x:c r="D144" s="127" t="n">
        <x:v>1</x:v>
      </x:c>
      <x:c r="E144" s="109" t="str">
        <x:v>Maternal alcohol consumption during pregnancy</x:v>
      </x:c>
      <x:c r="F144" s="109" t="str">
        <x:v>ASD</x:v>
      </x:c>
      <x:c r="G144" s="109" t="str">
        <x:v>pre_exposure</x:v>
      </x:c>
      <x:c r="H144" s="109" t="str">
        <x:v>confounder</x:v>
      </x:c>
      <x:c r="I144" s="109" t="str">
        <x:v>historical_induction/raw_candidate_runs/runs_v2_gemini/v2_gemini-3.1-pro-preview_B.json#variables[12]</x:v>
      </x:c>
      <x:c r="J14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4" s="109" t="str">
        <x:v/>
      </x:c>
      <x:c r="L144" s="109"/>
    </x:row>
    <x:row r="145" ht="94" customHeight="1">
      <x:c r="A145" s="109" t="str">
        <x:v>K17</x:v>
      </x:c>
      <x:c r="B145" s="109" t="str">
        <x:v>Lifestyle/substance use</x:v>
      </x:c>
      <x:c r="C145" s="109" t="str">
        <x:v>Gemini3.1-C</x:v>
      </x:c>
      <x:c r="D145" s="127" t="n">
        <x:v>1</x:v>
      </x:c>
      <x:c r="E145" s="109" t="str">
        <x:v>Maternal alcohol consumption during pregnancy</x:v>
      </x:c>
      <x:c r="F145" s="109" t="str">
        <x:v>ASD</x:v>
      </x:c>
      <x:c r="G145" s="109" t="str">
        <x:v>pre_exposure</x:v>
      </x:c>
      <x:c r="H145" s="109" t="str">
        <x:v>confounder</x:v>
      </x:c>
      <x:c r="I145" s="109" t="str">
        <x:v>historical_induction/raw_candidate_runs/runs_v2_gemini/v2_gemini-3.1-pro-preview_C.json#variables[8]</x:v>
      </x:c>
      <x:c r="J145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5" s="109" t="str">
        <x:v/>
      </x:c>
      <x:c r="L145" s="109"/>
    </x:row>
    <x:row r="146" ht="94" customHeight="1">
      <x:c r="A146" s="109" t="str">
        <x:v>C18</x:v>
      </x:c>
      <x:c r="B146" s="109" t="str">
        <x:v>Psychosocial stress</x:v>
      </x:c>
      <x:c r="C146" s="109" t="str">
        <x:v>GPT5.5-A</x:v>
      </x:c>
      <x:c r="D146" s="127" t="n">
        <x:v>1</x:v>
      </x:c>
      <x:c r="E146" s="109" t="str">
        <x:v>intimate partner violence before pregnancy</x:v>
      </x:c>
      <x:c r="F146" s="109" t="str">
        <x:v>ADHD</x:v>
      </x:c>
      <x:c r="G146" s="109" t="str">
        <x:v>pre_exposure</x:v>
      </x:c>
      <x:c r="H146" s="109" t="str">
        <x:v>confounder</x:v>
      </x:c>
      <x:c r="I146" s="109" t="str">
        <x:v>historical_induction/raw_candidate_runs/runs_v2_openai_adhd/v2_gpt-5.5_A.json#variables[52]</x:v>
      </x:c>
      <x:c r="J146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6" s="109" t="str">
        <x:v/>
      </x:c>
      <x:c r="L146" s="109"/>
    </x:row>
    <x:row r="147" ht="94" customHeight="1">
      <x:c r="A147" s="109" t="str">
        <x:v>D18</x:v>
      </x:c>
      <x:c r="B147" s="109" t="str">
        <x:v>Psychosocial stress</x:v>
      </x:c>
      <x:c r="C147" s="109" t="str">
        <x:v>GPT5.5-B</x:v>
      </x:c>
      <x:c r="D147" s="127" t="n">
        <x:v>1</x:v>
      </x:c>
      <x:c r="E147" s="109" t="str">
        <x:v>intimate partner violence before paracetamol initiation</x:v>
      </x:c>
      <x:c r="F147" s="109" t="str">
        <x:v>ADHD</x:v>
      </x:c>
      <x:c r="G147" s="109" t="str">
        <x:v>pre_exposure</x:v>
      </x:c>
      <x:c r="H147" s="109" t="str">
        <x:v>confounder</x:v>
      </x:c>
      <x:c r="I147" s="109" t="str">
        <x:v>historical_induction/raw_candidate_runs/runs_v2_openai_adhd/v2_gpt-5.5_B.json#variables[91]</x:v>
      </x:c>
      <x:c r="J147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7" s="109" t="str">
        <x:v/>
      </x:c>
      <x:c r="L147" s="109"/>
    </x:row>
    <x:row r="148" ht="94" customHeight="1">
      <x:c r="A148" s="109" t="str">
        <x:v>E18</x:v>
      </x:c>
      <x:c r="B148" s="109" t="str">
        <x:v>Psychosocial stress</x:v>
      </x:c>
      <x:c r="C148" s="109" t="str">
        <x:v>GPT5.5-C</x:v>
      </x:c>
      <x:c r="D148" s="127" t="n">
        <x:v>1</x:v>
      </x:c>
      <x:c r="E148" s="109" t="str">
        <x:v>intimate partner violence before or during early pregnancy</x:v>
      </x:c>
      <x:c r="F148" s="109" t="str">
        <x:v>ASD</x:v>
      </x:c>
      <x:c r="G148" s="109" t="str">
        <x:v>pre_exposure</x:v>
      </x:c>
      <x:c r="H148" s="109" t="str">
        <x:v>confounder</x:v>
      </x:c>
      <x:c r="I148" s="109" t="str">
        <x:v>historical_induction/raw_candidate_runs/runs_v2_openai/v2_gpt-5.5_C.json#variables[103]</x:v>
      </x:c>
      <x:c r="J148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8" s="109" t="str">
        <x:v/>
      </x:c>
      <x:c r="L148" s="109"/>
    </x:row>
    <x:row r="149" ht="94" customHeight="1">
      <x:c r="A149" s="109" t="str">
        <x:v>F18</x:v>
      </x:c>
      <x:c r="B149" s="109" t="str">
        <x:v>Psychosocial stress</x:v>
      </x:c>
      <x:c r="C149" s="109" t="str">
        <x:v>DeepSeekV4-A</x:v>
      </x:c>
      <x:c r="D149" s="127" t="n">
        <x:v>1</x:v>
      </x:c>
      <x:c r="E149" s="109" t="str">
        <x:v>Maternal stress during early pregnancy</x:v>
      </x:c>
      <x:c r="F149" s="109" t="str">
        <x:v>ASD</x:v>
      </x:c>
      <x:c r="G149" s="109" t="str">
        <x:v>pre_exposure</x:v>
      </x:c>
      <x:c r="H149" s="109" t="str">
        <x:v>confounder</x:v>
      </x:c>
      <x:c r="I149" s="109" t="str">
        <x:v>historical_induction/raw_candidate_runs/runs_v2_deepseek/v2_deepseek-v4-pro_A.json#variables[17]</x:v>
      </x:c>
      <x:c r="J149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49" s="109" t="str">
        <x:v/>
      </x:c>
      <x:c r="L149" s="109"/>
    </x:row>
    <x:row r="150" ht="94" customHeight="1">
      <x:c r="A150" s="109" t="str">
        <x:v>G18</x:v>
      </x:c>
      <x:c r="B150" s="109" t="str">
        <x:v>Psychosocial stress</x:v>
      </x:c>
      <x:c r="C150" s="109" t="str">
        <x:v>DeepSeekV4-B</x:v>
      </x:c>
      <x:c r="D150" s="127" t="n">
        <x:v>1</x:v>
      </x:c>
      <x:c r="E150" s="109" t="str">
        <x:v>Maternal childhood adversity</x:v>
      </x:c>
      <x:c r="F150" s="109" t="str">
        <x:v>ADHD</x:v>
      </x:c>
      <x:c r="G150" s="109" t="str">
        <x:v>pre_exposure</x:v>
      </x:c>
      <x:c r="H150" s="109" t="str">
        <x:v>confounder</x:v>
      </x:c>
      <x:c r="I150" s="109" t="str">
        <x:v>historical_induction/raw_candidate_runs/runs_v2_deepseek_adhd/v2_deepseek-v4-pro_B.json#variables[22]</x:v>
      </x:c>
      <x:c r="J150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0" s="109" t="str">
        <x:v/>
      </x:c>
      <x:c r="L150" s="109"/>
    </x:row>
    <x:row r="151" ht="94" customHeight="1">
      <x:c r="A151" s="109" t="str">
        <x:v>H18</x:v>
      </x:c>
      <x:c r="B151" s="109" t="str">
        <x:v>Psychosocial stress</x:v>
      </x:c>
      <x:c r="C151" s="109" t="str">
        <x:v>DeepSeekV4-C</x:v>
      </x:c>
      <x:c r="D151" s="127" t="n">
        <x:v>1</x:v>
      </x:c>
      <x:c r="E151" s="109" t="str">
        <x:v>maternal_stress</x:v>
      </x:c>
      <x:c r="F151" s="109" t="str">
        <x:v>ADHD</x:v>
      </x:c>
      <x:c r="G151" s="109" t="str">
        <x:v>pre_exposure</x:v>
      </x:c>
      <x:c r="H151" s="109" t="str">
        <x:v>confounder</x:v>
      </x:c>
      <x:c r="I151" s="109" t="str">
        <x:v>historical_induction/raw_candidate_runs/runs_v2_deepseek_adhd/v2_deepseek-v4-pro_C.json#variables[14]</x:v>
      </x:c>
      <x:c r="J151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1" s="109" t="str">
        <x:v/>
      </x:c>
      <x:c r="L151" s="109"/>
    </x:row>
    <x:row r="152" ht="94" customHeight="1">
      <x:c r="A152" s="109" t="str">
        <x:v>I18</x:v>
      </x:c>
      <x:c r="B152" s="109" t="str">
        <x:v>Psychosocial stress</x:v>
      </x:c>
      <x:c r="C152" s="109" t="str">
        <x:v>Gemini3.1-A</x:v>
      </x:c>
      <x:c r="D152" s="127" t="n">
        <x:v>1</x:v>
      </x:c>
      <x:c r="E152" s="109" t="str">
        <x:v>Maternal psychosocial stress during pregnancy</x:v>
      </x:c>
      <x:c r="F152" s="109" t="str">
        <x:v>ADHD</x:v>
      </x:c>
      <x:c r="G152" s="109" t="str">
        <x:v>pre_exposure</x:v>
      </x:c>
      <x:c r="H152" s="109" t="str">
        <x:v>confounder</x:v>
      </x:c>
      <x:c r="I152" s="109" t="str">
        <x:v>historical_induction/raw_candidate_runs/runs_v2_gemini_adhd/v2_gemini-3.1-pro-preview_A.json#variables[14]</x:v>
      </x:c>
      <x:c r="J152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2" s="109" t="str">
        <x:v/>
      </x:c>
      <x:c r="L152" s="109"/>
    </x:row>
    <x:row r="153" ht="94" customHeight="1">
      <x:c r="A153" s="109" t="str">
        <x:v>J18</x:v>
      </x:c>
      <x:c r="B153" s="109" t="str">
        <x:v>Psychosocial stress</x:v>
      </x:c>
      <x:c r="C153" s="109" t="str">
        <x:v>Gemini3.1-B</x:v>
      </x:c>
      <x:c r="D153" s="127" t="n">
        <x:v>1</x:v>
      </x:c>
      <x:c r="E153" s="109" t="str">
        <x:v>Maternal stress during pregnancy</x:v>
      </x:c>
      <x:c r="F153" s="109" t="str">
        <x:v>ADHD</x:v>
      </x:c>
      <x:c r="G153" s="109" t="str">
        <x:v>pre_exposure</x:v>
      </x:c>
      <x:c r="H153" s="109" t="str">
        <x:v>confounder</x:v>
      </x:c>
      <x:c r="I153" s="109" t="str">
        <x:v>historical_induction/raw_candidate_runs/runs_v2_gemini_adhd/v2_gemini-3.1-pro-preview_B.json#variables[18]</x:v>
      </x:c>
      <x:c r="J153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3" s="109" t="str">
        <x:v/>
      </x:c>
      <x:c r="L153" s="109"/>
    </x:row>
    <x:row r="154" ht="94" customHeight="1">
      <x:c r="A154" s="109" t="str">
        <x:v>K18</x:v>
      </x:c>
      <x:c r="B154" s="109" t="str">
        <x:v>Psychosocial stress</x:v>
      </x:c>
      <x:c r="C154" s="109" t="str">
        <x:v>Gemini3.1-C</x:v>
      </x:c>
      <x:c r="D154" s="127" t="n">
        <x:v>1</x:v>
      </x:c>
      <x:c r="E154" s="109" t="str">
        <x:v>Maternal stress and adverse life events</x:v>
      </x:c>
      <x:c r="F154" s="109" t="str">
        <x:v>ADHD</x:v>
      </x:c>
      <x:c r="G154" s="109" t="str">
        <x:v>pre_exposure</x:v>
      </x:c>
      <x:c r="H154" s="109" t="str">
        <x:v>confounder</x:v>
      </x:c>
      <x:c r="I154" s="109" t="str">
        <x:v>historical_induction/raw_candidate_runs/runs_v2_gemini_adhd/v2_gemini-3.1-pro-preview_C.json#variables[16]</x:v>
      </x:c>
      <x:c r="J154" s="109" t="str">
        <x:v>Matching construct meaning and maternal/family subject; pre-exposure candidate timing in the raw output, checked against the variable wording. One exact qualifying example retained for transparent recall; this is not an exhaustive variable list.</x:v>
      </x:c>
      <x:c r="K154" s="109" t="str">
        <x:v/>
      </x:c>
      <x:c r="L154" s="109"/>
    </x:row>
  </x:sheetData>
  <x:pageMargins left="0.7" right="0.7" top="0.75" bottom="0.75" header="0.3" footer="0.3"/>
</x:worksheet>
</file>